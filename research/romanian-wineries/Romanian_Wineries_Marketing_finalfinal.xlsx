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inery Departments" sheetId="1" state="visible" r:id="rId3"/>
    <sheet name="Open Positions" sheetId="2" state="visible" r:id="rId4"/>
    <sheet name="Campaign Evidence" sheetId="3" state="visible" r:id="rId5"/>
    <sheet name="Campaign Timeline" sheetId="4" state="visible" r:id="rId6"/>
    <sheet name="CEO Research" sheetId="5" state="visible" r:id="rId7"/>
    <sheet name="Commercial People" sheetId="6" state="visible" r:id="rId8"/>
    <sheet name="Commercial Type Split" sheetId="7" state="visible" r:id="rId9"/>
    <sheet name="Takeaways_Insights" sheetId="8" state="visible" r:id="rId10"/>
  </sheets>
  <definedNames>
    <definedName function="false" hidden="true" localSheetId="3" name="_xlnm._FilterDatabase" vbProcedure="false">'Campaign Timeline'!$A$1:$H$511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<sst xmlns="http://schemas.openxmlformats.org/spreadsheetml/2006/main" count="7798" uniqueCount="3766">
  <si>
    <t xml:space="preserve">Winery</t>
  </si>
  <si>
    <t xml:space="preserve">Job Function / Department</t>
  </si>
  <si>
    <t xml:space="preserve">Count</t>
  </si>
  <si>
    <t xml:space="preserve">LinkedIn Members</t>
  </si>
  <si>
    <t xml:space="preserve">Displayed Function Count Sum</t>
  </si>
  <si>
    <t xml:space="preserve">Displayed Sum / Members</t>
  </si>
  <si>
    <t xml:space="preserve">Note</t>
  </si>
  <si>
    <t xml:space="preserve">Purcari Wineries</t>
  </si>
  <si>
    <t xml:space="preserve">Operations</t>
  </si>
  <si>
    <t xml:space="preserve">Marketing</t>
  </si>
  <si>
    <t xml:space="preserve">Cramele Recas</t>
  </si>
  <si>
    <t xml:space="preserve">Displayed categories do not exceed total</t>
  </si>
  <si>
    <t xml:space="preserve">Sales</t>
  </si>
  <si>
    <t xml:space="preserve">Jidvei</t>
  </si>
  <si>
    <t xml:space="preserve">Accounting</t>
  </si>
  <si>
    <t xml:space="preserve">Cramele Cotnari</t>
  </si>
  <si>
    <t xml:space="preserve">Human Resources</t>
  </si>
  <si>
    <t xml:space="preserve">Beciul Domnesc</t>
  </si>
  <si>
    <t xml:space="preserve">Crama Ceptura</t>
  </si>
  <si>
    <t xml:space="preserve">Domeniile Averesti</t>
  </si>
  <si>
    <t xml:space="preserve">Department categories overlap</t>
  </si>
  <si>
    <t xml:space="preserve">Business Development</t>
  </si>
  <si>
    <t xml:space="preserve">Budureasca</t>
  </si>
  <si>
    <t xml:space="preserve">Engineering</t>
  </si>
  <si>
    <t xml:space="preserve">Tohani Romania</t>
  </si>
  <si>
    <t xml:space="preserve">Murfatlar</t>
  </si>
  <si>
    <t xml:space="preserve">Davino Winery</t>
  </si>
  <si>
    <t xml:space="preserve">Domeniile Ostrov</t>
  </si>
  <si>
    <t xml:space="preserve">Casa de Vinuri Cotnari SA</t>
  </si>
  <si>
    <t xml:space="preserve">Finance</t>
  </si>
  <si>
    <t xml:space="preserve">Zarea</t>
  </si>
  <si>
    <t xml:space="preserve">Administrative</t>
  </si>
  <si>
    <t xml:space="preserve">Via Viticola</t>
  </si>
  <si>
    <t xml:space="preserve">Marketing company of Vintruvian Estates</t>
  </si>
  <si>
    <t xml:space="preserve">Crama Gîrboiu</t>
  </si>
  <si>
    <t xml:space="preserve">No LinkedIn capture available; BestJobs employer profile lists 6 alumni (checked 2026-08-21)</t>
  </si>
  <si>
    <t xml:space="preserve">Domeniile Vânju Mare</t>
  </si>
  <si>
    <t xml:space="preserve">No LinkedIn capture available; BestJobs employer profile exists, alumni count not published (checked 2026-08-21)</t>
  </si>
  <si>
    <t xml:space="preserve">Licorna WineHouse</t>
  </si>
  <si>
    <t xml:space="preserve">No LinkedIn capture available; BestJobs employer profile lists 1 alumnus (checked 2026-08-21)</t>
  </si>
  <si>
    <t xml:space="preserve">Program and Project Management</t>
  </si>
  <si>
    <t xml:space="preserve">Gitana Winery</t>
  </si>
  <si>
    <t xml:space="preserve">Moldovan producer — outside the Romanian LinkedIn capture. Four staff are named on the winery's own People page (checked 2026-08-21)</t>
  </si>
  <si>
    <t xml:space="preserve">Research</t>
  </si>
  <si>
    <t xml:space="preserve">Domeniile Sâmburești</t>
  </si>
  <si>
    <t xml:space="preserve">No LinkedIn capture available; BestJobs employer profile lists 2 alumni (checked 2026-08-21)</t>
  </si>
  <si>
    <t xml:space="preserve">Crama Rasova</t>
  </si>
  <si>
    <t xml:space="preserve">No LinkedIn capture available; BestJobs employer profile lists 4 alumni (checked 2026-08-21)</t>
  </si>
  <si>
    <t xml:space="preserve">Liliac Winery</t>
  </si>
  <si>
    <t xml:space="preserve">No LinkedIn capture available; BestJobs employer profile for amb Wine Company lists 15 alumni (checked 2026-08-21)</t>
  </si>
  <si>
    <t xml:space="preserve">Crama Oprișor</t>
  </si>
  <si>
    <t xml:space="preserve">No LinkedIn capture available; the winery publishes a full team page naming 14 staff, and a BestJobs employer profile exists (checked 2026-08-21)</t>
  </si>
  <si>
    <t xml:space="preserve">Domeniile Săhăteni</t>
  </si>
  <si>
    <t xml:space="preserve">No LinkedIn capture available; BestJobs employer profile lists 11 alumni (checked 2026-08-21)</t>
  </si>
  <si>
    <t xml:space="preserve">Crama 1000 de Chipuri</t>
  </si>
  <si>
    <t xml:space="preserve">Casa de Vinuri Negrini</t>
  </si>
  <si>
    <t xml:space="preserve">Petro Vaselo</t>
  </si>
  <si>
    <t xml:space="preserve">No LinkedIn capture available; a BestJobs employer profile exists but is empty (checked 2026-08-21)</t>
  </si>
  <si>
    <t xml:space="preserve">Carastelec Winery</t>
  </si>
  <si>
    <t xml:space="preserve">Domeniile Davidescu</t>
  </si>
  <si>
    <t xml:space="preserve">Moldovan producer selling mainly in Romania — outside the Romanian LinkedIn capture; no employer profile located (checked 2026-08-21)</t>
  </si>
  <si>
    <t xml:space="preserve">SERVE Ceptura</t>
  </si>
  <si>
    <t xml:space="preserve">No LinkedIn capture available; BestJobs employer profile lists 8 alumni (checked 2026-08-21). Part of Purcari Wineries since May 2026</t>
  </si>
  <si>
    <t xml:space="preserve">Information Technology</t>
  </si>
  <si>
    <t xml:space="preserve">Media and Communication</t>
  </si>
  <si>
    <t xml:space="preserve">Healthcare Services</t>
  </si>
  <si>
    <t xml:space="preserve">Consulting</t>
  </si>
  <si>
    <t xml:space="preserve">Role / website finding</t>
  </si>
  <si>
    <t xml:space="preserve">Type</t>
  </si>
  <si>
    <t xml:space="preserve">Location</t>
  </si>
  <si>
    <t xml:space="preserve">Status</t>
  </si>
  <si>
    <t xml:space="preserve">Source / timing</t>
  </si>
  <si>
    <t xml:space="preserve">Details / application route</t>
  </si>
  <si>
    <t xml:space="preserve">Source URL</t>
  </si>
  <si>
    <t xml:space="preserve">Manager, Quality Management Systems</t>
  </si>
  <si>
    <t xml:space="preserve">Vacancy</t>
  </si>
  <si>
    <t xml:space="preserve">Chișinău; production-site travel</t>
  </si>
  <si>
    <t xml:space="preserve">Publicly advertised</t>
  </si>
  <si>
    <t xml:space="preserve">LinkedIn company post; ~2 weeks before 2026-08-18</t>
  </si>
  <si>
    <t xml:space="preserve">ISO 9001/22000, audits, food safety and continuous improvement. Apply via hr@purcari.wine.</t>
  </si>
  <si>
    <t xml:space="preserve">https://www.linkedin.com/company/purcari-wineries-plc</t>
  </si>
  <si>
    <t xml:space="preserve">Project Development Manager (Financing &amp; Investments)</t>
  </si>
  <si>
    <t xml:space="preserve">Chișinău</t>
  </si>
  <si>
    <t xml:space="preserve">Financing, grants, investments and strategic project development. Apply via hr@purcari.wine.</t>
  </si>
  <si>
    <t xml:space="preserve">Office Manager</t>
  </si>
  <si>
    <t xml:space="preserve">Recent posting; verify</t>
  </si>
  <si>
    <t xml:space="preserve">LinkedIn company post; ~2 months before 2026-08-18</t>
  </si>
  <si>
    <t xml:space="preserve">Management-team support and daily office operations; the post may have closed.</t>
  </si>
  <si>
    <t xml:space="preserve">Agronom</t>
  </si>
  <si>
    <t xml:space="preserve">Paid internship / early career</t>
  </si>
  <si>
    <t xml:space="preserve">Purcari, Moldova</t>
  </si>
  <si>
    <t xml:space="preserve">Listed; verify application window</t>
  </si>
  <si>
    <t xml:space="preserve">Official internship site checked 2026-08-18</t>
  </si>
  <si>
    <t xml:space="preserve">Vineyard work planning, treatment/fertilization programs and team/resource coordination.</t>
  </si>
  <si>
    <t xml:space="preserve">https://internship.purcari.wine/</t>
  </si>
  <si>
    <t xml:space="preserve">IT Helpdesk</t>
  </si>
  <si>
    <t xml:space="preserve">Level-1 support, equipment availability, troubleshooting and application setup.</t>
  </si>
  <si>
    <t xml:space="preserve">HR Associate</t>
  </si>
  <si>
    <t xml:space="preserve">HR administration, personnel files, team-building support and HR projects.</t>
  </si>
  <si>
    <t xml:space="preserve">Trade Marketing Specialist</t>
  </si>
  <si>
    <t xml:space="preserve">Trade-marketing plans, promotional calendar, budgets and agency/vendor coordination.</t>
  </si>
  <si>
    <t xml:space="preserve">Guide — Château Purcari Tourist Complex</t>
  </si>
  <si>
    <t xml:space="preserve">Purcari, Ștefan Vodă</t>
  </si>
  <si>
    <t xml:space="preserve">Visitor-facing role at the Château Purcari tourism complex.</t>
  </si>
  <si>
    <t xml:space="preserve">Horticultural Engineer (COR 213230)</t>
  </si>
  <si>
    <t xml:space="preserve">Jidvei / Cetatea de Baltă, Alba</t>
  </si>
  <si>
    <t xml:space="preserve">LinkedIn company post; ~3 months before 2026-08-18</t>
  </si>
  <si>
    <t xml:space="preserve">Horticulture role advertised by the company; verify whether applications remain open.</t>
  </si>
  <si>
    <t xml:space="preserve">https://www.linkedin.com/company/jidvei</t>
  </si>
  <si>
    <t xml:space="preserve">Brand Manager</t>
  </si>
  <si>
    <t xml:space="preserve">Bucharest metropolitan area</t>
  </si>
  <si>
    <t xml:space="preserve">LinkedIn company post; ~5–6 months before 2026-08-18</t>
  </si>
  <si>
    <t xml:space="preserve">Brand-management opening promoted twice; current acceptance status was not independently confirmed.</t>
  </si>
  <si>
    <t xml:space="preserve">Senior Event Manager</t>
  </si>
  <si>
    <t xml:space="preserve">LinkedIn company post; ~6 months before 2026-08-18</t>
  </si>
  <si>
    <t xml:space="preserve">Event role aligned with Jidvei's large cultural and experiential calendar.</t>
  </si>
  <si>
    <t xml:space="preserve">No dedicated vacancy page located</t>
  </si>
  <si>
    <t xml:space="preserve">Website review</t>
  </si>
  <si>
    <t xml:space="preserve">—</t>
  </si>
  <si>
    <t xml:space="preserve">No website listing found</t>
  </si>
  <si>
    <t xml:space="preserve">Official website checked 2026-08-18</t>
  </si>
  <si>
    <t xml:space="preserve">Main navigation and indexed pages showed news, products, events and contact, but no careers/current-vacancy page.</t>
  </si>
  <si>
    <t xml:space="preserve">https://www.jidvei.ro/</t>
  </si>
  <si>
    <t xml:space="preserve">Official website/search checked 2026-08-18</t>
  </si>
  <si>
    <t xml:space="preserve">No current vacancy or careers page was located on the official domain; this is not proof of no internal hiring.</t>
  </si>
  <si>
    <t xml:space="preserve">https://www.beciuldomnesc.ro/</t>
  </si>
  <si>
    <t xml:space="preserve">No current vacancy or careers page was located on the official domain.</t>
  </si>
  <si>
    <t xml:space="preserve">https://www.cramelerecas.ro/</t>
  </si>
  <si>
    <t xml:space="preserve">Official Vintruvian Estates site checked 2026-08-18</t>
  </si>
  <si>
    <t xml:space="preserve">The Via Viticola address redirects to Vintruvian Estates; no careers/current-vacancy page was located.</t>
  </si>
  <si>
    <t xml:space="preserve">https://www.vintruvianestates.com/</t>
  </si>
  <si>
    <t xml:space="preserve">No current vacancy or careers page was located; the site provides general marketing, export and tasting contacts.</t>
  </si>
  <si>
    <t xml:space="preserve">https://budureascawines.com/</t>
  </si>
  <si>
    <t xml:space="preserve">BestJobs employer profile</t>
  </si>
  <si>
    <t xml:space="preserve">Job-board review</t>
  </si>
  <si>
    <t xml:space="preserve">Gura Vadului, Prahova</t>
  </si>
  <si>
    <t xml:space="preserve">Employer profile active; no open role visible at check</t>
  </si>
  <si>
    <t xml:space="preserve">BestJobs company profile checked 2026-08-21</t>
  </si>
  <si>
    <t xml:space="preserve">The employer profile carries a company description and links to budureasca.ro; no live listing was visible at check.</t>
  </si>
  <si>
    <t xml:space="preserve">https://www.bestjobs.eu/company-profile/budureasca</t>
  </si>
  <si>
    <t xml:space="preserve">Merchandisers — Sales Department</t>
  </si>
  <si>
    <t xml:space="preserve">Bucharest</t>
  </si>
  <si>
    <t xml:space="preserve">Official careers page says urgent; verify</t>
  </si>
  <si>
    <t xml:space="preserve">Official careers page checked 2026-08-18</t>
  </si>
  <si>
    <t xml:space="preserve">Merchandising in international retail networks. Apply at resurseumane@zarea.ro.</t>
  </si>
  <si>
    <t xml:space="preserve">https://zarea.ro/en/who-we-are/careers/</t>
  </si>
  <si>
    <t xml:space="preserve">No careers/current-vacancy page was located; the site provides info@cramelecotnari.ro as its main contact.</t>
  </si>
  <si>
    <t xml:space="preserve">https://www.cramelecotnari.ro/</t>
  </si>
  <si>
    <t xml:space="preserve">No current vacancy or careers page was located in the official navigation or indexed pages.</t>
  </si>
  <si>
    <t xml:space="preserve">https://www.vinuricotnari.ro/</t>
  </si>
  <si>
    <t xml:space="preserve">The official site includes products, tourism, news and contact, but no careers/current-vacancy page was located.</t>
  </si>
  <si>
    <t xml:space="preserve">https://murfatlar-vinul.ro/</t>
  </si>
  <si>
    <t xml:space="preserve">Official winery and Purcari Group sites checked 2026-08-18</t>
  </si>
  <si>
    <t xml:space="preserve">No current Crama Ceptura-specific vacancy page was located; the Purcari internship site did not identify a Crama Ceptura role.</t>
  </si>
  <si>
    <t xml:space="preserve">https://purcariwineries.com/en/crama-ceptura/</t>
  </si>
  <si>
    <t xml:space="preserve">IT Help Desk (Administrator de rețea)</t>
  </si>
  <si>
    <t xml:space="preserve">Recent vacancy</t>
  </si>
  <si>
    <t xml:space="preserve">Comuna Ceptura, Prahova</t>
  </si>
  <si>
    <t xml:space="preserve">Closed / not actively recruiting</t>
  </si>
  <si>
    <t xml:space="preserve">BestJobs listing checked 2026-08-21</t>
  </si>
  <si>
    <t xml:space="preserve">Help-desk role advertised by the winery itself on BestJobs: IT degree, 1–3 years support experience, Windows/Linux, Active Directory and Microsoft 365. The listing states recruitment is no longer active but still accepts expressions of interest.</t>
  </si>
  <si>
    <t xml:space="preserve">https://www.bestjobs.eu/loc-de-munca/administrator-de-retea-50</t>
  </si>
  <si>
    <t xml:space="preserve">BestJobs employer profile is the winery's public recruitment route</t>
  </si>
  <si>
    <t xml:space="preserve">Employer profile active; no open role at check</t>
  </si>
  <si>
    <t xml:space="preserve">Crama Ceptura recruits through a BestJobs employer profile (57 alumni listed) rather than a careers page of its own, which is why the winery and group sites show nothing. This is the applicant route to record for the Romanian entity.</t>
  </si>
  <si>
    <t xml:space="preserve">https://www.bestjobs.eu/company-profile/crama-ceptura</t>
  </si>
  <si>
    <t xml:space="preserve">Official website and company LinkedIn checked 2026-08-18</t>
  </si>
  <si>
    <t xml:space="preserve">No dedicated careers page or current vacancy was located in the reviewed official channels.</t>
  </si>
  <si>
    <t xml:space="preserve">https://domeniile-averesti.ro/</t>
  </si>
  <si>
    <t xml:space="preserve">BestJobs employer profile (2 alumni)</t>
  </si>
  <si>
    <t xml:space="preserve">Averești, Vaslui</t>
  </si>
  <si>
    <t xml:space="preserve">A recruitment route the official-website review did not surface. No live listing was visible at check.</t>
  </si>
  <si>
    <t xml:space="preserve">https://www.bestjobs.eu/company-profile/domeniile-averesti</t>
  </si>
  <si>
    <t xml:space="preserve">The official site includes e-commerce, events, wine tourism and news, but no careers/current-vacancy page was located.</t>
  </si>
  <si>
    <t xml:space="preserve">https://tohaniromania.com/</t>
  </si>
  <si>
    <t xml:space="preserve">Director de Vânzări și Dezvoltare</t>
  </si>
  <si>
    <t xml:space="preserve">Closed / position filled</t>
  </si>
  <si>
    <t xml:space="preserve">LinkedIn listing reviewed 2026-08-18; advertised about eight months earlier</t>
  </si>
  <si>
    <t xml:space="preserve">The listing is no longer accepting applications; the role appears to have been filled in July 2026, so it is retained only as recent hiring evidence.</t>
  </si>
  <si>
    <t xml:space="preserve">https://ro.linkedin.com/jobs/view/director-de-v%C3%A2nz%C4%83ri-%C8%99i-dezvoltare-at-davino-winery-4341632238</t>
  </si>
  <si>
    <t xml:space="preserve">The official site provides portfolio, news and contact pages but no careers/current-vacancy page.</t>
  </si>
  <si>
    <t xml:space="preserve">https://www.davino.ro/</t>
  </si>
  <si>
    <t xml:space="preserve">BestJobs employer profile (4 alumni)</t>
  </si>
  <si>
    <t xml:space="preserve">Ceptura, Prahova / Bucharest</t>
  </si>
  <si>
    <t xml:space="preserve">A second recruitment route beyond the LinkedIn listing already recorded: the winery keeps a BestJobs employer profile. No live listing was visible at check.</t>
  </si>
  <si>
    <t xml:space="preserve">https://www.bestjobs.eu/company-profile/davino</t>
  </si>
  <si>
    <t xml:space="preserve">No current careers or vacancy page was located; an older salesperson listing was excluded from current-role counts.</t>
  </si>
  <si>
    <t xml:space="preserve">https://www.domeniileostrov.ro/</t>
  </si>
  <si>
    <t xml:space="preserve">Official website checked 2026-08-21</t>
  </si>
  <si>
    <t xml:space="preserve">The served pages carry winery, portfolio, news and shop sections but no careers or vacancy route.</t>
  </si>
  <si>
    <t xml:space="preserve">https://cramagirboiu.ro/</t>
  </si>
  <si>
    <t xml:space="preserve">BestJobs employer profile (6 alumni)</t>
  </si>
  <si>
    <t xml:space="preserve">Cotești, Vrancea</t>
  </si>
  <si>
    <t xml:space="preserve">The winery's only public recruitment presence found. No live listing was visible in the page served at check.</t>
  </si>
  <si>
    <t xml:space="preserve">https://www.bestjobs.eu/company-profile/crama-girboiu</t>
  </si>
  <si>
    <t xml:space="preserve">Official websites checked 2026-08-21</t>
  </si>
  <si>
    <t xml:space="preserve">Neither the Domeniile Vînju Mare site nor the Vie Vin Vînju Mare producer site serves a careers or vacancy section.</t>
  </si>
  <si>
    <t xml:space="preserve">https://domeniilevinjumare.ro/</t>
  </si>
  <si>
    <t xml:space="preserve">Vânju Mare, Mehedinți</t>
  </si>
  <si>
    <t xml:space="preserve">Profile is listed under the producing company, Vie Vin Vînju Mare. No live listing was visible in the page served at check.</t>
  </si>
  <si>
    <t xml:space="preserve">https://www.bestjobs.eu/company-profile/vie-vin-vinju-mare</t>
  </si>
  <si>
    <t xml:space="preserve">The site serves winery, shop, awards and tourism sections with no careers or vacancy route.</t>
  </si>
  <si>
    <t xml:space="preserve">https://www.licornawinehouse.ro/</t>
  </si>
  <si>
    <t xml:space="preserve">BestJobs employer profile (1 alumnus)</t>
  </si>
  <si>
    <t xml:space="preserve">Thin public recruitment footprint, consistent with a 30-hectare estate. No live listing was visible at check.</t>
  </si>
  <si>
    <t xml:space="preserve">https://www.bestjobs.eu/company-profile/licorna-winehouse</t>
  </si>
  <si>
    <t xml:space="preserve">The site serves wines, history, people and contact sections with no careers or vacancy route.</t>
  </si>
  <si>
    <t xml:space="preserve">https://www.gitanawinery.com/en/</t>
  </si>
  <si>
    <t xml:space="preserve">Team published on the official People page</t>
  </si>
  <si>
    <t xml:space="preserve">Plopi, Cantemir (Moldova)</t>
  </si>
  <si>
    <t xml:space="preserve">Four roles named; no vacancy advertised</t>
  </si>
  <si>
    <t xml:space="preserve">Official People page checked 2026-08-21</t>
  </si>
  <si>
    <t xml:space="preserve">Owner, co-owner, production and development manager and marketing and sales manager are named with titles — an unusual level of public disclosure for a winery this size.</t>
  </si>
  <si>
    <t xml:space="preserve">https://www.gitanawinery.com/en/people/</t>
  </si>
  <si>
    <t xml:space="preserve">The site serves collections, history and contact sections with no careers or vacancy route.</t>
  </si>
  <si>
    <t xml:space="preserve">https://samburesti.com/en/</t>
  </si>
  <si>
    <t xml:space="preserve">Dobroteasa, Olt</t>
  </si>
  <si>
    <t xml:space="preserve">Listed under the producing company, Viti-Pomicola Sâmburești. No live listing was visible at check.</t>
  </si>
  <si>
    <t xml:space="preserve">https://www.bestjobs.eu/company-profile/viti-pomicola-samburesti</t>
  </si>
  <si>
    <t xml:space="preserve">The site is an e-commerce and events platform with no careers or vacancy section.</t>
  </si>
  <si>
    <t xml:space="preserve">https://www.cramarasova.ro/</t>
  </si>
  <si>
    <t xml:space="preserve">Cernavodă, Constanța</t>
  </si>
  <si>
    <t xml:space="preserve">No live listing was visible in the page served at check.</t>
  </si>
  <si>
    <t xml:space="preserve">https://www.bestjobs.eu/company-profile/crama-rasova</t>
  </si>
  <si>
    <t xml:space="preserve">The site serves wines, estate and visit sections with no careers or vacancy route.</t>
  </si>
  <si>
    <t xml:space="preserve">https://www.liliac.com/</t>
  </si>
  <si>
    <t xml:space="preserve">BestJobs employer profile (15 alumni)</t>
  </si>
  <si>
    <t xml:space="preserve">Batoș, Mureș / Bucharest</t>
  </si>
  <si>
    <t xml:space="preserve">Listed under the operating company, amb Wine Company — the largest public recruitment footprint among the wineries added here after Crama Ceptura.</t>
  </si>
  <si>
    <t xml:space="preserve">https://www.bestjobs.eu/company-profile/amb-wine-company</t>
  </si>
  <si>
    <t xml:space="preserve">The site publishes a full named team with contact addresses but no careers or vacancy section.</t>
  </si>
  <si>
    <t xml:space="preserve">https://www.crama-oprisor.com/about_us_team.html</t>
  </si>
  <si>
    <t xml:space="preserve">Oprișor, Mehedinți / Bucharest</t>
  </si>
  <si>
    <t xml:space="preserve">Listed under the legal entity, Carl Reh Winery. No live listing was visible at check.</t>
  </si>
  <si>
    <t xml:space="preserve">https://www.bestjobs.eu/company-profile/carl-reh-winery</t>
  </si>
  <si>
    <t xml:space="preserve">The site serves wines, story and contact sections with no careers or vacancy route.</t>
  </si>
  <si>
    <t xml:space="preserve">https://aureliavisinescu.com/</t>
  </si>
  <si>
    <t xml:space="preserve">BestJobs employer profile (11 alumni)</t>
  </si>
  <si>
    <t xml:space="preserve">Săhăteni, Buzău / Bucharest</t>
  </si>
  <si>
    <t xml:space="preserve">Listed under Domeniile Sahateni. No live listing was visible at check.</t>
  </si>
  <si>
    <t xml:space="preserve">https://www.bestjobs.eu/company-profile/domeniile-sahateni</t>
  </si>
  <si>
    <t xml:space="preserve">The site serves wines and visit information with no careers or vacancy route.</t>
  </si>
  <si>
    <t xml:space="preserve">https://1000dechipuri.ro/</t>
  </si>
  <si>
    <t xml:space="preserve">Urlați, Prahova</t>
  </si>
  <si>
    <t xml:space="preserve">https://www.bestjobs.eu/company-profile/1000-de-chipuri</t>
  </si>
  <si>
    <t xml:space="preserve">The site serves brand and product information with no careers or vacancy route.</t>
  </si>
  <si>
    <t xml:space="preserve">https://www.negrini.ro/</t>
  </si>
  <si>
    <t xml:space="preserve">Drăgășani, Vâlcea / Bucharest</t>
  </si>
  <si>
    <t xml:space="preserve">No live listing and no alumni count were visible in the page served at check.</t>
  </si>
  <si>
    <t xml:space="preserve">https://www.bestjobs.eu/company-profile/casa-de-vinuri-negrini</t>
  </si>
  <si>
    <t xml:space="preserve">The site serves wines, estate and shop sections with no careers or vacancy route.</t>
  </si>
  <si>
    <t xml:space="preserve">https://petrovaselo.com/en/</t>
  </si>
  <si>
    <t xml:space="preserve">BestJobs employer profile (empty)</t>
  </si>
  <si>
    <t xml:space="preserve">Petrovaselo, Timiș</t>
  </si>
  <si>
    <t xml:space="preserve">Profile exists but carries no company detail or alumni</t>
  </si>
  <si>
    <t xml:space="preserve">The profile page served no company description, alumni count or live listing at check.</t>
  </si>
  <si>
    <t xml:space="preserve">https://www.bestjobs.eu/company-profile/petro-vaselo</t>
  </si>
  <si>
    <t xml:space="preserve">Official website and producer profiles checked 2026-08-21</t>
  </si>
  <si>
    <t xml:space="preserve">No careers or vacancy route was located on the winery's own or partner pages.</t>
  </si>
  <si>
    <t xml:space="preserve">https://winesofromania.com/en/wineries/carastelec-sparkling-winery/</t>
  </si>
  <si>
    <t xml:space="preserve">Carastelec, Sălaj</t>
  </si>
  <si>
    <t xml:space="preserve">https://www.bestjobs.eu/company-profile/carastelec-winery</t>
  </si>
  <si>
    <t xml:space="preserve">The site serves wines and story sections with no careers or vacancy route.</t>
  </si>
  <si>
    <t xml:space="preserve">https://domeniiledavidescu.ro/</t>
  </si>
  <si>
    <t xml:space="preserve">No Romanian job-board employer profile located</t>
  </si>
  <si>
    <t xml:space="preserve">No employer profile found</t>
  </si>
  <si>
    <t xml:space="preserve">BestJobs checked 2026-08-21</t>
  </si>
  <si>
    <t xml:space="preserve">Unlike the Romanian producers in this workbook, no BestJobs employer profile was located — consistent with production being based in Moldova.</t>
  </si>
  <si>
    <t xml:space="preserve">https://wineofmoldova.com/en/domeniile-davidescu-winery/</t>
  </si>
  <si>
    <t xml:space="preserve">https://www.serve.ro/</t>
  </si>
  <si>
    <t xml:space="preserve">BestJobs employer profile (8 alumni)</t>
  </si>
  <si>
    <t xml:space="preserve">Ceptura, Prahova</t>
  </si>
  <si>
    <t xml:space="preserve">No live listing was visible at check. Recruitment may move to the Purcari group route following the May 2026 acquisition.</t>
  </si>
  <si>
    <t xml:space="preserve">https://www.bestjobs.eu/company-profile/serve-ceptura</t>
  </si>
  <si>
    <t xml:space="preserve">Period</t>
  </si>
  <si>
    <t xml:space="preserve">Campaign / initiative</t>
  </si>
  <si>
    <t xml:space="preserve">Theme</t>
  </si>
  <si>
    <t xml:space="preserve">Channel / mechanic</t>
  </si>
  <si>
    <t xml:space="preserve">Pattern interpretation</t>
  </si>
  <si>
    <t xml:space="preserve">2026</t>
  </si>
  <si>
    <t xml:space="preserve">Weinland Trails</t>
  </si>
  <si>
    <t xml:space="preserve">Experiential / tourism</t>
  </si>
  <si>
    <t xml:space="preserve">Running and cycling through vineyards, tastings, food and a charitable component</t>
  </si>
  <si>
    <t xml:space="preserve">A repeatable destination property linking wine with nature, community and active lifestyle.</t>
  </si>
  <si>
    <t xml:space="preserve">https://www.jidvei.ro/weinland-trails/</t>
  </si>
  <si>
    <t xml:space="preserve">Spirit collection launch in Paris</t>
  </si>
  <si>
    <t xml:space="preserve">Product launch / prestige</t>
  </si>
  <si>
    <t xml:space="preserve">International reveal of the Spirit collection around the Paris cultural calendar</t>
  </si>
  <si>
    <t xml:space="preserve">Uses high-status international settings to premiumize new products.</t>
  </si>
  <si>
    <t xml:space="preserve">https://www.jidvei.ro/francezii-dedica-un-festival-culturii-romane-jidvei-aduce-un-omagiu-spiritului-romanesc-prin-lansarea-colectiei-spirit-in-premiera-la-paris/</t>
  </si>
  <si>
    <t xml:space="preserve">2025–2026</t>
  </si>
  <si>
    <t xml:space="preserve">Strugurele de Aur</t>
  </si>
  <si>
    <t xml:space="preserve">Culture / heritage</t>
  </si>
  <si>
    <t xml:space="preserve">Recurring Romanian folklore festival supported and amplified by Jidvei</t>
  </si>
  <si>
    <t xml:space="preserve">Builds a durable association with Romanian music, dance and cultural heritage.</t>
  </si>
  <si>
    <t xml:space="preserve">https://www.jidvei.ro/festivalul-national-de-folclor-strugurele-de-aur-editia-xxi-3-7-septembrie-2025-blaj-si-jidvei/</t>
  </si>
  <si>
    <t xml:space="preserve">2024–2026</t>
  </si>
  <si>
    <t xml:space="preserve">Romanian culture abroad</t>
  </si>
  <si>
    <t xml:space="preserve">Cultural diplomacy</t>
  </si>
  <si>
    <t xml:space="preserve">Brâncuși at Centre Pompidou, NASTY at Cannes and Paris Book Festival visibility</t>
  </si>
  <si>
    <t xml:space="preserve">Makes Romanian cultural prestige a recurring international communications platform.</t>
  </si>
  <si>
    <t xml:space="preserve">https://www.jidvei.ro/premiera-jidvei-este-vinul-oficial-al-vernisajului-celei-mai-ample-expozitii-brancusi-din-lume-organizata-la-centrul-pompidou-din-paris/</t>
  </si>
  <si>
    <t xml:space="preserve">2024</t>
  </si>
  <si>
    <t xml:space="preserve">Romanian Olympic Team partnership</t>
  </si>
  <si>
    <t xml:space="preserve">Sports / national pride</t>
  </si>
  <si>
    <t xml:space="preserve">COSR partnership and Paris Olympics association</t>
  </si>
  <si>
    <t xml:space="preserve">Connects the brand to national representation, performance and major moments.</t>
  </si>
  <si>
    <t xml:space="preserve">https://www.jidvei.ro/jocurile-olimpice-de-la-paris-ne-au-adus-mai-aproape-de-sportivii-romani-printr-un-parteneriat-devenit-traditie-intre-asociatia-jidvei-viitor-prin-educatie-si-cosr/</t>
  </si>
  <si>
    <t xml:space="preserve">Seasonal</t>
  </si>
  <si>
    <t xml:space="preserve">Must de la Jidvei</t>
  </si>
  <si>
    <t xml:space="preserve">Seasonal product</t>
  </si>
  <si>
    <t xml:space="preserve">Harvest-time must launch and availability communications</t>
  </si>
  <si>
    <t xml:space="preserve">Uses the harvest calendar to create urgency around a short-lived seasonal product.</t>
  </si>
  <si>
    <t xml:space="preserve">https://www.jidvei.ro/jidvei-da-startul-editiei-2024-a-campaniei-must-de-la-jidvei/</t>
  </si>
  <si>
    <t xml:space="preserve">Eu sunt Jidvei. Născut în inima Transilvaniei</t>
  </si>
  <si>
    <t xml:space="preserve">Masterbrand / origin</t>
  </si>
  <si>
    <t xml:space="preserve">Corporate brand platform centered on Transylvanian provenance</t>
  </si>
  <si>
    <t xml:space="preserve">Provides a unifying identity platform across products, people and place.</t>
  </si>
  <si>
    <t xml:space="preserve">https://www.jidvei.ro/eu-sunt-jidvei-nascut-in-inima-transilvaniei-desavarsit-in-tara-vinului/</t>
  </si>
  <si>
    <t xml:space="preserve">Official-wine and cultural-event partnerships</t>
  </si>
  <si>
    <t xml:space="preserve">Events / hospitality</t>
  </si>
  <si>
    <t xml:space="preserve">IMPACT Bucharest official wine and RAPSODIILE concert at Castel Bethlen-Haller</t>
  </si>
  <si>
    <t xml:space="preserve">Turns hospitality and cultural events into premium brand experiences.</t>
  </si>
  <si>
    <t xml:space="preserve">https://www.jidvei.ro/grand-palais-gazduieste-literatura-romana-jidvei-o-insoteste-la-festivalul-de-carte-de-la-paris/</t>
  </si>
  <si>
    <t xml:space="preserve">Feb. 2021</t>
  </si>
  <si>
    <t xml:space="preserve">Mysterium extended into super-premium sparkling</t>
  </si>
  <si>
    <t xml:space="preserve">Product launch</t>
  </si>
  <si>
    <t xml:space="preserve">Traditional-method sparkling added to the existing Mysterium range</t>
  </si>
  <si>
    <t xml:space="preserve">Stretches an established premium name into a new category instead of creating one, which is the cheaper way to enter sparkling.</t>
  </si>
  <si>
    <t xml:space="preserve">https://www.jidvei.ro/de-azi-mysterium-inseamna-si-vinuri-spumante-super-premium-obtinute-prin-metoda-traditionala/</t>
  </si>
  <si>
    <t xml:space="preserve">Mar. 2021</t>
  </si>
  <si>
    <t xml:space="preserve">„Vin și Gust”</t>
  </si>
  <si>
    <t xml:space="preserve">Gastronomy partnership</t>
  </si>
  <si>
    <t xml:space="preserve">A project pairing the wine range with Romanian gastronomy, launched in the middle of the pandemic restaurant closures</t>
  </si>
  <si>
    <t xml:space="preserve">Starts a food-and-wine platform precisely when the on-trade was shut — the audience was at home and cooking.</t>
  </si>
  <si>
    <t xml:space="preserve">https://www.jidvei.ro/vin-si-gust-un-nou-proiect-jidvei-in-care-gastronomia-si-arta-vinului-isi-dau-mana/</t>
  </si>
  <si>
    <t xml:space="preserve">Aug. 2021</t>
  </si>
  <si>
    <t xml:space="preserve">„Must de la Jidvei”, seventh edition</t>
  </si>
  <si>
    <t xml:space="preserve">Seasonal promotion</t>
  </si>
  <si>
    <t xml:space="preserve">Annual harvest-season must campaign, run every year since; further editions recorded in 2023 and 2024</t>
  </si>
  <si>
    <t xml:space="preserve">The only fixture in the calendar that repeats identically each autumn — a habit rather than a campaign.</t>
  </si>
  <si>
    <t xml:space="preserve">https://www.jidvei.ro/jidvei-da-startul-celei-de-a-saptea-editii-a-campaniei-must-de-la-jidvei/</t>
  </si>
  <si>
    <t xml:space="preserve">Sept. 2021</t>
  </si>
  <si>
    <t xml:space="preserve">Art Safari Bucharest</t>
  </si>
  <si>
    <t xml:space="preserve">Sponsorship / arts</t>
  </si>
  <si>
    <t xml:space="preserve">Ten days, five senses, two wines — Jidvei present at the Bucharest art fair</t>
  </si>
  <si>
    <t xml:space="preserve">The first of the art partnerships that later scale to Pompidou and Cannes; the pattern starts at home.</t>
  </si>
  <si>
    <t xml:space="preserve">https://www.jidvei.ro/10-zile-5-simturi-2-vinuri-cu-jidvei-la-art-safari-bucharest/</t>
  </si>
  <si>
    <t xml:space="preserve">Jan. 2023</t>
  </si>
  <si>
    <t xml:space="preserve">Cocktails by Jidvei platform</t>
  </si>
  <si>
    <t xml:space="preserve">Brand platform</t>
  </si>
  <si>
    <t xml:space="preserve">A cocktail platform described as unique in Romania, putting still wine into mixed drinks</t>
  </si>
  <si>
    <t xml:space="preserve">Attacks the occasion problem directly: if wine loses to spirits at parties, make wine the base of the party drink.</t>
  </si>
  <si>
    <t xml:space="preserve">https://www.jidvei.ro/platforma-cocktails-by-jidvei-o-initiativa-unica-in-romania/</t>
  </si>
  <si>
    <t xml:space="preserve">Jun. 2023</t>
  </si>
  <si>
    <t xml:space="preserve">Iluziv by Jidvei</t>
  </si>
  <si>
    <t xml:space="preserve">A new range launched as a first for the Romanian wine market</t>
  </si>
  <si>
    <t xml:space="preserve">A separate range name lets the house test a different style without touching the Jidvei masterbrand.</t>
  </si>
  <si>
    <t xml:space="preserve">https://www.jidvei.ro/noua-gama-de-vinuri-iluziv-by-jidvei-o-premiera-pe-piata-vinului-din-romania/</t>
  </si>
  <si>
    <t xml:space="preserve">Jul. 2023</t>
  </si>
  <si>
    <t xml:space="preserve">WeinRun</t>
  </si>
  <si>
    <t xml:space="preserve">Experiential / sport</t>
  </si>
  <si>
    <t xml:space="preserve">A running challenge through the vineyards, the forerunner of the Weinland Trails marathon</t>
  </si>
  <si>
    <t xml:space="preserve">Sport gets people onto the estate for a day; the event later grows into the branded Weinland Trails property.</t>
  </si>
  <si>
    <t xml:space="preserve">https://www.jidvei.ro/weinrun-o-provocare-lansata-de-jidvei-iubitorilor-de-sport-si-natura/</t>
  </si>
  <si>
    <t xml:space="preserve">Mar. 2023</t>
  </si>
  <si>
    <t xml:space="preserve">D.O.C. Jidvei communication</t>
  </si>
  <si>
    <t xml:space="preserve">Provenance claim</t>
  </si>
  <si>
    <t xml:space="preserve">Appellation status communicated as a step forward in the art of wine, followed by protected-designation (DOP) status in January 2025</t>
  </si>
  <si>
    <t xml:space="preserve">Regulatory recognition is turned into consumer messaging — a rare case of paperwork used as advertising.</t>
  </si>
  <si>
    <t xml:space="preserve">https://www.jidvei.ro/d-o-c-jidvei-este-un-pas-mai-departe-in-arta-vinului-si-nu-ne-oprim-aici/</t>
  </si>
  <si>
    <t xml:space="preserve">Mar. 2024</t>
  </si>
  <si>
    <t xml:space="preserve">Brâncuși at Centre Pompidou</t>
  </si>
  <si>
    <t xml:space="preserve">Official wine of the vernissage of the largest Brâncuși exhibition in the world, in Paris, with 2,800 visitors at the opening</t>
  </si>
  <si>
    <t xml:space="preserve">Buys association with the one Romanian artist the world already knows, in the institution that certifies him.</t>
  </si>
  <si>
    <t xml:space="preserve">https://www.iqads.ro/articol/67645/jidvei-alaturi-de-2800-de-vizitatori-la-vernisajul-brancusi-de-la-paris</t>
  </si>
  <si>
    <t xml:space="preserve">Jul.–Aug. 2024</t>
  </si>
  <si>
    <t xml:space="preserve">COSR partnership around the Paris Olympics, alongside five years of the „Jidvei – Viitor prin Educație” association sponsoring the committee</t>
  </si>
  <si>
    <t xml:space="preserve">The sponsorship is old; the Paris Games are the moment it finally gets communicated.</t>
  </si>
  <si>
    <t xml:space="preserve">https://www.jidvei.ro/jocurile-olimpice-de-la-paris-ne-au-adus-mai-aproape-de-sportivii-romani-printr-un-parteneriat/</t>
  </si>
  <si>
    <t xml:space="preserve">Nov. 2024</t>
  </si>
  <si>
    <t xml:space="preserve">„Eu sunt Jidvei” brand platform</t>
  </si>
  <si>
    <t xml:space="preserve">Born in the heart of Transylvania, perfected in the Land of Wine — a first-person masterbrand line</t>
  </si>
  <si>
    <t xml:space="preserve">After three years of borrowed cultural prestige, the brand finally states who it is in its own voice.</t>
  </si>
  <si>
    <t xml:space="preserve">Dec. 2024</t>
  </si>
  <si>
    <t xml:space="preserve">Verjus Jidvei</t>
  </si>
  <si>
    <t xml:space="preserve">The first Romanian product of its kind, aimed at cooking enthusiasts</t>
  </si>
  <si>
    <t xml:space="preserve">A non-wine product from wine grapes: extends the gastronomy platform into the kitchen where „Vin și Gust” started.</t>
  </si>
  <si>
    <t xml:space="preserve">https://www.jidvei.ro/lansam-verjus-jidvei-primul-produs-romanesc-de-acest-tip-dedicat-celor-pasionati-de-gastronomie/</t>
  </si>
  <si>
    <t xml:space="preserve">2024–2025</t>
  </si>
  <si>
    <t xml:space="preserve">Castelul Bethlen-Haller as a destination brand</t>
  </si>
  <si>
    <t xml:space="preserve">Wine tourism</t>
  </si>
  <si>
    <t xml:space="preserve">TopHotel Awards named the castle best wine-tourism destination in 2024 and distinguished it again in 2025; it hosts concerts including Alexandru Tomescu's Stradivarius recital in June 2025</t>
  </si>
  <si>
    <t xml:space="preserve">The estate's castle is run as a separate hospitality brand, which gives the wine a place people can visit and photograph.</t>
  </si>
  <si>
    <t xml:space="preserve">https://www.jidvei.ro/castelul-bethlen-haller-distins-la-tophotel-awards-2025/</t>
  </si>
  <si>
    <t xml:space="preserve">Sept. 2025</t>
  </si>
  <si>
    <t xml:space="preserve">Vinars XO international premiere in Paris</t>
  </si>
  <si>
    <t xml:space="preserve">The XO brandy revealed internationally in Paris rather than domestically</t>
  </si>
  <si>
    <t xml:space="preserve">Category extension into spirits, launched abroad so the Romanian trade reads it as an international product.</t>
  </si>
  <si>
    <t xml:space="preserve">https://www.jidvei.ro/jidvei-a-lansat-vinars-xo-in-premiera-internationala-la-paris/</t>
  </si>
  <si>
    <t xml:space="preserve">Official wine at IMPACT Bucharest with Michelle Obama</t>
  </si>
  <si>
    <t xml:space="preserve">Sponsorship / prestige</t>
  </si>
  <si>
    <t xml:space="preserve">Official wine of the largest business and tech event in South-Eastern Europe, headlined by Michelle Obama</t>
  </si>
  <si>
    <t xml:space="preserve">Moves the prestige play from arts to business audiences — a different room, the same logic.</t>
  </si>
  <si>
    <t xml:space="preserve">https://www.jidvei.ro/michelle-obama-la-impact-bucuresti-jidvei-vinul-oficial-al-celui-mai-important-eveniment-de-business-tech-din-europa-de-sud-est/</t>
  </si>
  <si>
    <t xml:space="preserve">Apr. 2026</t>
  </si>
  <si>
    <t xml:space="preserve">Romania at the Paris Book Festival, Grand Palais</t>
  </si>
  <si>
    <t xml:space="preserve">Jidvei accompanied Romanian literature to the Grand Palais and brought Transylvania to the Paris book fair</t>
  </si>
  <si>
    <t xml:space="preserve">The fourth consecutive year of a Paris cultural placement; by now it is a fixture, not an opportunity.</t>
  </si>
  <si>
    <t xml:space="preserve">Jul. 2026</t>
  </si>
  <si>
    <t xml:space="preserve">„Vin la povești” with Sebastian Stan at Cannes</t>
  </si>
  <si>
    <t xml:space="preserve">Content series / celebrity</t>
  </si>
  <si>
    <t xml:space="preserve">A rare Romanian-language interview with Sebastian Stan filmed at Cannes for the brand's own content series, as Jidvei returned as official wine of Romania at the festival</t>
  </si>
  <si>
    <t xml:space="preserve">Owned content replaces sponsorship signage: the brand now makes the thing people watch rather than appearing beside it.</t>
  </si>
  <si>
    <t xml:space="preserve">https://www.iqads.ro/articol/75910/sebastian-stan-intr-un-interviu-rar-in-limba-romana-la-cannes-pentru-seria-jidvei</t>
  </si>
  <si>
    <t xml:space="preserve">EFFIE Awards România 2026</t>
  </si>
  <si>
    <t xml:space="preserve">Awards / reputation</t>
  </si>
  <si>
    <t xml:space="preserve">Jidvei among the brands recognised at the Romanian EFFIE effectiveness awards</t>
  </si>
  <si>
    <t xml:space="preserve">An effectiveness prize, unlike a wine medal, is evidence the marketing itself worked.</t>
  </si>
  <si>
    <t xml:space="preserve">https://www.iqads.ro/relevant/jidvei</t>
  </si>
  <si>
    <t xml:space="preserve">Somelier de grătar</t>
  </si>
  <si>
    <t xml:space="preserve">White-versus-rosé pairing selector, newsletter capture and daily prizes</t>
  </si>
  <si>
    <t xml:space="preserve">Combines useful food pairing with gamified summer lead generation.</t>
  </si>
  <si>
    <t xml:space="preserve">https://somelier.beciuldomnesc.ro/</t>
  </si>
  <si>
    <t xml:space="preserve">Cabin weekend purchase promotion</t>
  </si>
  <si>
    <t xml:space="preserve">Retail promotion</t>
  </si>
  <si>
    <t xml:space="preserve">Buy two white or rosé bottles, upload the receipt and enter to win a friends' weekend</t>
  </si>
  <si>
    <t xml:space="preserve">Uses a high-fit experiential prize to drive multi-bottle purchase and data capture.</t>
  </si>
  <si>
    <t xml:space="preserve">2025</t>
  </si>
  <si>
    <t xml:space="preserve">De Paște, păstrăm tradiția vie</t>
  </si>
  <si>
    <t xml:space="preserve">Seasonal / radio</t>
  </si>
  <si>
    <t xml:space="preserve">Europa FM food-pairing contest with WhatsApp entries and daily wine prizes</t>
  </si>
  <si>
    <t xml:space="preserve">Owns a major Romanian meal occasion through education, radio reach and prizes.</t>
  </si>
  <si>
    <t xml:space="preserve">https://www.europafm.ro/concurs-de-paste-pastram-traditia-vie-la-europa-fm-alaturi-de-beciul-domnesc/</t>
  </si>
  <si>
    <t xml:space="preserve">Descoperă magia Rosé Vérité</t>
  </si>
  <si>
    <t xml:space="preserve">Mega Image campaign with promotional prizes</t>
  </si>
  <si>
    <t xml:space="preserve">Uses modern rosé cues and retailer reach to recruit shoppers into the range.</t>
  </si>
  <si>
    <t xml:space="preserve">https://www.beciuldomnesc.ro/public/page/regulamentul-oficial-al-campaniei-noiembrie_decemb</t>
  </si>
  <si>
    <t xml:space="preserve">Recurring</t>
  </si>
  <si>
    <t xml:space="preserve">Office and team-break occasions</t>
  </si>
  <si>
    <t xml:space="preserve">Always-on lifestyle</t>
  </si>
  <si>
    <t xml:space="preserve">Short workplace and friends content with product recommendations and shop CTAs</t>
  </si>
  <si>
    <t xml:space="preserve">Keeps the brand present in relatable, low-friction consumption moments.</t>
  </si>
  <si>
    <t xml:space="preserve">https://monument.beciuldomnesc.ro/#rezervari</t>
  </si>
  <si>
    <t xml:space="preserve">Beciul Domnesc monument storytelling</t>
  </si>
  <si>
    <t xml:space="preserve">Heritage</t>
  </si>
  <si>
    <t xml:space="preserve">Cellar monument, history and provenance narratives</t>
  </si>
  <si>
    <t xml:space="preserve">Balances promotional content with a defensible heritage asset.</t>
  </si>
  <si>
    <t xml:space="preserve">https://monument.beciuldomnesc.ro/</t>
  </si>
  <si>
    <t xml:space="preserve">Guided tastings and team experiences</t>
  </si>
  <si>
    <t xml:space="preserve">Experience / B2B</t>
  </si>
  <si>
    <t xml:space="preserve">Winery visits and guided tastings positioned for groups and company gatherings</t>
  </si>
  <si>
    <t xml:space="preserve">Converts the physical cellar into hospitality and relationship marketing.</t>
  </si>
  <si>
    <t xml:space="preserve">https://monument.beciuldomnesc.ro/#pachete</t>
  </si>
  <si>
    <t xml:space="preserve">c. 2026</t>
  </si>
  <si>
    <t xml:space="preserve">„Somelier de Grătar” promotional campaign</t>
  </si>
  <si>
    <t xml:space="preserve">Promotion / contest</t>
  </si>
  <si>
    <t xml:space="preserve">A promotional campaign launched with an agency partner, pairing the range with barbecue occasions</t>
  </si>
  <si>
    <t xml:space="preserve">Barbecue is the summer occasion where wine loses to beer; the campaign attacks it directly.</t>
  </si>
  <si>
    <t xml:space="preserve">https://www.iqads.ro/relevant/beciul-domnesc</t>
  </si>
  <si>
    <t xml:space="preserve">Parcela collection</t>
  </si>
  <si>
    <t xml:space="preserve">Premium product launch</t>
  </si>
  <si>
    <t xml:space="preserve">Limited, parcel-led wines supported by product and origin storytelling</t>
  </si>
  <si>
    <t xml:space="preserve">Uses scarcity and precise provenance to raise premium credentials.</t>
  </si>
  <si>
    <t xml:space="preserve">https://purcariwineries.com/chateau-purcari/</t>
  </si>
  <si>
    <t xml:space="preserve">Orange wine launch</t>
  </si>
  <si>
    <t xml:space="preserve">Innovation / product</t>
  </si>
  <si>
    <t xml:space="preserve">New-style launch communicated through the corporate news cycle</t>
  </si>
  <si>
    <t xml:space="preserve">Shows willingness to extend the portfolio into contemporary wine styles.</t>
  </si>
  <si>
    <t xml:space="preserve">https://purcariwineries.com/en/chateau-purcari-breaks-the-mold-and-launches-the-orange-wine/</t>
  </si>
  <si>
    <t xml:space="preserve">Romanian Design Week partnership</t>
  </si>
  <si>
    <t xml:space="preserve">Design / culture</t>
  </si>
  <si>
    <t xml:space="preserve">Brand presence within a leading creative-industry platform</t>
  </si>
  <si>
    <t xml:space="preserve">Connects premium wine with design-minded urban audiences.</t>
  </si>
  <si>
    <t xml:space="preserve">https://purcariwineries.com/en/chateau-purcari-partner-of-romanian-design-week-2025-for-the-second-consecutive-year/</t>
  </si>
  <si>
    <t xml:space="preserve">4SIR2 sustainable innovation</t>
  </si>
  <si>
    <t xml:space="preserve">ESG / research</t>
  </si>
  <si>
    <t xml:space="preserve">Circular-bioeconomy research and innovation communications</t>
  </si>
  <si>
    <t xml:space="preserve">Builds corporate reputation around applied sustainability rather than claims alone.</t>
  </si>
  <si>
    <t xml:space="preserve">https://purcariwineries.com/en/purcari-wineries-group-advancing-sustainable-innovation-through-4sir2/</t>
  </si>
  <si>
    <t xml:space="preserve">Biodiversity monitoring</t>
  </si>
  <si>
    <t xml:space="preserve">ESG / terroir</t>
  </si>
  <si>
    <t xml:space="preserve">Field monitoring and biodiversity evidence from vineyards</t>
  </si>
  <si>
    <t xml:space="preserve">Links environmental stewardship directly to vineyard health and long-term quality.</t>
  </si>
  <si>
    <t xml:space="preserve">https://purcariwineries.com/en/first-results-of-biodiversity-monitoring-in-the-chateau-purcari-vineyards/</t>
  </si>
  <si>
    <t xml:space="preserve">Purcari Scholarship</t>
  </si>
  <si>
    <t xml:space="preserve">Education / talent</t>
  </si>
  <si>
    <t xml:space="preserve">Scholarship support for emerging specialists</t>
  </si>
  <si>
    <t xml:space="preserve">Creates a visible talent pipeline and community-investment platform.</t>
  </si>
  <si>
    <t xml:space="preserve">https://purcariwineries.com/en/purcari-wineries-group-launches-a-unique-project-to-support-young-specialists-purcari-scholarship/</t>
  </si>
  <si>
    <t xml:space="preserve">Student masterclasses</t>
  </si>
  <si>
    <t xml:space="preserve">Education / employer brand</t>
  </si>
  <si>
    <t xml:space="preserve">Technical masterclasses for UTM students</t>
  </si>
  <si>
    <t xml:space="preserve">Turns internal expertise into recruitment and institutional credibility.</t>
  </si>
  <si>
    <t xml:space="preserve">https://purcariwineries.com/en/purcari-wineries-inspires-the-new-generation-of-winemakers-through-a-masterclass-for-utm-students/</t>
  </si>
  <si>
    <t xml:space="preserve">International awards and gala visibility</t>
  </si>
  <si>
    <t xml:space="preserve">Reputation / trade</t>
  </si>
  <si>
    <t xml:space="preserve">Competition medals and Concours Mondial de Bruxelles gala participation</t>
  </si>
  <si>
    <t xml:space="preserve">Sustains premium authority with repeated third-party proof.</t>
  </si>
  <si>
    <t xml:space="preserve">https://purcariwineries.com/en/purcari-hosts-the-gala-dinner-of-concours-mondial-de-bruxelles-sparkling-session-2025/</t>
  </si>
  <si>
    <t xml:space="preserve">Investor communications and 2X by 200</t>
  </si>
  <si>
    <t xml:space="preserve">Corporate / growth</t>
  </si>
  <si>
    <t xml:space="preserve">Bicentenary growth strategy, results, awards and acquisition updates</t>
  </si>
  <si>
    <t xml:space="preserve">Treats investors as a distinct campaign audience with a clear growth narrative.</t>
  </si>
  <si>
    <t xml:space="preserve">https://purcariwineries.com/en/purcari-unveils-new-strategy-2x-by-200-aiming-to-double-key-operating-metrics-by-companys-bicentenary-in-2027/</t>
  </si>
  <si>
    <t xml:space="preserve">c. 2022</t>
  </si>
  <si>
    <t xml:space="preserve">„Noi, nu! Niciodată!” manifesto campaign</t>
  </si>
  <si>
    <t xml:space="preserve">Brand manifesto</t>
  </si>
  <si>
    <t xml:space="preserve">A manifesto campaign signed by Propaganda encouraging Romanians, run for Purcari Wineries</t>
  </si>
  <si>
    <t xml:space="preserve">The group's one purely emotional, non-product campaign in the period — everything else is awards, results or events.</t>
  </si>
  <si>
    <t xml:space="preserve">https://www.iqads.ro/articol/62431/noi-nu-niciodata-o-campanie-manifest-semnata-de-propaganda-pentru-purcari</t>
  </si>
  <si>
    <t xml:space="preserve">2023–2026</t>
  </si>
  <si>
    <t xml:space="preserve">Nocturne Night Run</t>
  </si>
  <si>
    <t xml:space="preserve">An owned night-running event at Château Purcari held every year from 2023 through the 2026 edition</t>
  </si>
  <si>
    <t xml:space="preserve">The estate's only annual owned property; four consecutive editions make it the group's most durable consumer touchpoint.</t>
  </si>
  <si>
    <t xml:space="preserve">https://purcariwineries.com/nocturne-night-run-editia-2026/</t>
  </si>
  <si>
    <t xml:space="preserve">Dec. 2023</t>
  </si>
  <si>
    <t xml:space="preserve">Cuvée de Purcari Adamant Edition</t>
  </si>
  <si>
    <t xml:space="preserve">A sparkling edition given its own spotlight launch</t>
  </si>
  <si>
    <t xml:space="preserve">Sparkling is launched as a named edition rather than a line extension, which lets it carry a higher price.</t>
  </si>
  <si>
    <t xml:space="preserve">https://purcariwineries.com/spumantul-cuvee-de-purcari-adamant-edition-si-a-facut-aparitia-in-lumina-reflectoarelor/</t>
  </si>
  <si>
    <t xml:space="preserve">Château Purcari partnered Romanian Design Week for a second consecutive year in 2025, alongside Jazz in the Park and the Diploma Show</t>
  </si>
  <si>
    <t xml:space="preserve">Design and music festivals reach an urban audience that wine competitions never touch.</t>
  </si>
  <si>
    <t xml:space="preserve">https://purcariwineries.com/chateau-purcari-partener-la-romanian-design-week-2025-pentru-al-doilea-an-consecutiv/</t>
  </si>
  <si>
    <t xml:space="preserve">Oct. 2024</t>
  </si>
  <si>
    <t xml:space="preserve">„2X by 200” strategy launch</t>
  </si>
  <si>
    <t xml:space="preserve">Corporate strategy</t>
  </si>
  <si>
    <t xml:space="preserve">A publicly launched strategy to double the group's main operating indicators</t>
  </si>
  <si>
    <t xml:space="preserve">Publishing a growth target is investor marketing: the audience is the Bucharest exchange, not the shelf.</t>
  </si>
  <si>
    <t xml:space="preserve">https://purcariwineries.com/purcari-lanseaza-noua-strategie-2x-by-200/</t>
  </si>
  <si>
    <t xml:space="preserve">Mircea Lucescu as brand ambassador</t>
  </si>
  <si>
    <t xml:space="preserve">Celebrity endorsement</t>
  </si>
  <si>
    <t xml:space="preserve">Partnership with the veteran football coach as group ambassador</t>
  </si>
  <si>
    <t xml:space="preserve">A single national figure with cross-generational recognition, used where the group has no celebrity of its own.</t>
  </si>
  <si>
    <t xml:space="preserve">https://purcariwineries.com/purcari-wineries-anunta-parteneriatul-cu-legendarul-antrenor-mircea-lucescu/</t>
  </si>
  <si>
    <t xml:space="preserve">Rara Neagră 2.0 and the Sapiens range</t>
  </si>
  <si>
    <t xml:space="preserve">Product / category leadership</t>
  </si>
  <si>
    <t xml:space="preserve">A project dedicated to the native Rara Neagră variety, alongside the Sapiens range launched as „produced by man, created by nature”</t>
  </si>
  <si>
    <t xml:space="preserve">Native-variety work is positioned as research rather than marketing, which is how a volume producer buys critical credibility.</t>
  </si>
  <si>
    <t xml:space="preserve">https://purcariwineries.com/purcari-demareaza-proiectul-rara-neagra-2-0/</t>
  </si>
  <si>
    <t xml:space="preserve">Jul. 2024</t>
  </si>
  <si>
    <t xml:space="preserve">Vintech Innovations</t>
  </si>
  <si>
    <t xml:space="preserve">Corporate / innovation</t>
  </si>
  <si>
    <t xml:space="preserve">A dedicated venture launched to lead the group's digital transformation</t>
  </si>
  <si>
    <t xml:space="preserve">Technology is communicated as a brand asset — unusual for a wine group and aimed squarely at investors.</t>
  </si>
  <si>
    <t xml:space="preserve">https://purcariwineries.com/purcari-wineries-lanseaza-vintech-innovations/</t>
  </si>
  <si>
    <t xml:space="preserve">Mar. 2025</t>
  </si>
  <si>
    <t xml:space="preserve">Château Purcari Orange wine</t>
  </si>
  <si>
    <t xml:space="preserve">The estate stepped outside its own conventions to launch an orange wine</t>
  </si>
  <si>
    <t xml:space="preserve">A style aimed at a younger, specialist audience, launched under the flagship estate name rather than a side brand.</t>
  </si>
  <si>
    <t xml:space="preserve">https://purcariwineries.com/chateau-purcari-iese-din-tipare-si-lanseaza-vinul-orange/</t>
  </si>
  <si>
    <t xml:space="preserve">Oct.–Nov. 2025</t>
  </si>
  <si>
    <t xml:space="preserve">„BURSA” scholarships and student masterclasses</t>
  </si>
  <si>
    <t xml:space="preserve">CSR / education</t>
  </si>
  <si>
    <t xml:space="preserve">A scholarship project for young specialists plus a masterclass programme for oenology students</t>
  </si>
  <si>
    <t xml:space="preserve">Recruitment marketing dressed as CSR, in an industry that competes hard for trained winemakers.</t>
  </si>
  <si>
    <t xml:space="preserve">https://purcariwineries.com/grupul-de-vinarii-purcari-lanseaza-un-proiect-unic-de-sustinere-a-tinerilor-specialisti-bursa/</t>
  </si>
  <si>
    <t xml:space="preserve">Mar. 2026</t>
  </si>
  <si>
    <t xml:space="preserve">First biodiversity monitoring results</t>
  </si>
  <si>
    <t xml:space="preserve">First results published from biodiversity monitoring in the Château Purcari vineyards</t>
  </si>
  <si>
    <t xml:space="preserve">Publishing measurements rather than intentions is what separates this from ordinary sustainability messaging.</t>
  </si>
  <si>
    <t xml:space="preserve">https://purcariwineries.com/primele-rezultate-ale-monitorizarii-biodiversitatii-in-podgoriile-chateau-purcari/</t>
  </si>
  <si>
    <t xml:space="preserve">Continuous international medal communication</t>
  </si>
  <si>
    <t xml:space="preserve">Decanter, Concours Mondial de Bruxelles, Mundus Vini, Berliner Wine Trophy, Vinalies, Challenge International du Vin, London Wine Competition and VINARIUM results published as separate announcements through 2026</t>
  </si>
  <si>
    <t xml:space="preserve">Medals are treated as a publishing schedule rather than as occasional news — roughly one award story a month.</t>
  </si>
  <si>
    <t xml:space="preserve">https://purcariwineries.com/en/media/</t>
  </si>
  <si>
    <t xml:space="preserve">RO-Wine participation</t>
  </si>
  <si>
    <t xml:space="preserve">Festival / tasting</t>
  </si>
  <si>
    <t xml:space="preserve">Premium portfolio tastings and direct conversations at the festival stand</t>
  </si>
  <si>
    <t xml:space="preserve">Uses major wine fairs as recurring consumer and HoReCa discovery channels.</t>
  </si>
  <si>
    <t xml:space="preserve">https://www.entertix.ro/evenimente/34302/rowine-spring-edition-bucharest-2026-22-24-mai-22-24-mai-2026-fratelli-studio-1-bucuresti.html</t>
  </si>
  <si>
    <t xml:space="preserve">Revino Gourmet Wine Show</t>
  </si>
  <si>
    <t xml:space="preserve">Festival / community</t>
  </si>
  <si>
    <t xml:space="preserve">Ninth consecutive appearance, tastings and Tenuta Mosconi cross-portfolio presence</t>
  </si>
  <si>
    <t xml:space="preserve">Signals consistency and community membership, not one-off event buying.</t>
  </si>
  <si>
    <t xml:space="preserve">https://ro.linkedin.com/posts/cramele-recas_cramelerecas-wineforceone-revinogourmetwineshow-activity-7439606972179656704-RjSt</t>
  </si>
  <si>
    <t xml:space="preserve">Maison AMÉ in the vineyard</t>
  </si>
  <si>
    <t xml:space="preserve">Experiential / culture</t>
  </si>
  <si>
    <t xml:space="preserve">Premium gathering staged among vineyard rows with IMPLICIT wine</t>
  </si>
  <si>
    <t xml:space="preserve">Creates emotionally rich, highly visual winery experiences around premium labels.</t>
  </si>
  <si>
    <t xml:space="preserve">https://ro.linkedin.com/posts/ana-maria-ruiu-89409b194_zilele-trecute-a-avut-loc-lansarea-maison-activity-7432116788110344192-8gIi</t>
  </si>
  <si>
    <t xml:space="preserve">Balul Vienez Timișoara</t>
  </si>
  <si>
    <t xml:space="preserve">Arts / local partnership</t>
  </si>
  <si>
    <t xml:space="preserve">Long-running partnership with the Vienna Ball, Muse Stars and IMPLICIT</t>
  </si>
  <si>
    <t xml:space="preserve">Builds regional prestige through recurring arts and social-calendar associations.</t>
  </si>
  <si>
    <t xml:space="preserve">https://ro.linkedin.com/posts/cramele-recas_cramelerecas-wineforceone-balulvienez-activity-7401946519815471104-jUN9</t>
  </si>
  <si>
    <t xml:space="preserve">Seasonal 2026</t>
  </si>
  <si>
    <t xml:space="preserve">Povești de la Cramă / Recolta 2026</t>
  </si>
  <si>
    <t xml:space="preserve">Terroir content</t>
  </si>
  <si>
    <t xml:space="preserve">Vine flowering and harvest-cycle storytelling</t>
  </si>
  <si>
    <t xml:space="preserve">Makes the agricultural calendar an always-on source of authenticity and anticipation.</t>
  </si>
  <si>
    <t xml:space="preserve">https://ro.linkedin.com/company/cramele-recas/posts/?feedView=all</t>
  </si>
  <si>
    <t xml:space="preserve">Berliner Wein Trophy results</t>
  </si>
  <si>
    <t xml:space="preserve">Awards / quality proof</t>
  </si>
  <si>
    <t xml:space="preserve">Gold and silver medals for Muse, Selene and EXplicit</t>
  </si>
  <si>
    <t xml:space="preserve">Uses portfolio-wide awards to validate quality from accessible to super-premium tiers.</t>
  </si>
  <si>
    <t xml:space="preserve">https://ro.linkedin.com/posts/cramele-recas_calitaterecunoscut%C4%83-cramelerecas-wineforceone-activity-7442236568091639809-_Hwi</t>
  </si>
  <si>
    <t xml:space="preserve">Winery tourism and group tastings</t>
  </si>
  <si>
    <t xml:space="preserve">Tourism / conversion</t>
  </si>
  <si>
    <t xml:space="preserve">Organized tours and tastings at the Recaș visitor cellar</t>
  </si>
  <si>
    <t xml:space="preserve">Converts production scale and export credibility into an accessible brand experience.</t>
  </si>
  <si>
    <t xml:space="preserve">https://www.recaswine.de/tourismus/</t>
  </si>
  <si>
    <t xml:space="preserve">Feb. 2023</t>
  </si>
  <si>
    <t xml:space="preserve">Principal partner of Timișoara 2023</t>
  </si>
  <si>
    <t xml:space="preserve">Sponsorship / culture</t>
  </si>
  <si>
    <t xml:space="preserve">Principal partner of Timișoara, European Capital of Culture in 2023, in the winery's home county</t>
  </si>
  <si>
    <t xml:space="preserve">The one year the region is the centre of European cultural attention, and the local producer owns it.</t>
  </si>
  <si>
    <t xml:space="preserve">https://www.iqads.ro/articol/63200/cramele-recas-partener-principal-al-timisoarei-capitala-europeana-a-culturii</t>
  </si>
  <si>
    <t xml:space="preserve">„Brunch in the sky” launch of Conacul Ambrozy</t>
  </si>
  <si>
    <t xml:space="preserve">Product launch / experiential</t>
  </si>
  <si>
    <t xml:space="preserve">The Dinner in the Sky format adapted to launch a wine, with a platform for 22 guests raised to about 40 metres</t>
  </si>
  <si>
    <t xml:space="preserve">A launch stunt built for photographs — the wine is introduced as an experience journalists will publish.</t>
  </si>
  <si>
    <t xml:space="preserve">https://foodcrew.ro/advertoriale/lansare-de-vin-la-inaltime-conacul-ambrozy-cramele-recas/</t>
  </si>
  <si>
    <t xml:space="preserve">Caii de la Letea origin platform</t>
  </si>
  <si>
    <t xml:space="preserve">Terroir / flagship brand</t>
  </si>
  <si>
    <t xml:space="preserve">Dobrogea and Danube Delta imagery centered on the Caii de la Letea range</t>
  </si>
  <si>
    <t xml:space="preserve">Builds recognition through a distinctive regional icon and origin story.</t>
  </si>
  <si>
    <t xml:space="preserve">https://www.vintruvianestates.com/caiidelaletea</t>
  </si>
  <si>
    <t xml:space="preserve">Domeniile Prince Matei</t>
  </si>
  <si>
    <t xml:space="preserve">Premium heritage</t>
  </si>
  <si>
    <t xml:space="preserve">Dealu Mare boutique-winery and Prince Matei label storytelling</t>
  </si>
  <si>
    <t xml:space="preserve">Creates a separate classic-premium pole within the wider portfolio.</t>
  </si>
  <si>
    <t xml:space="preserve">https://www.vintruvianestates.com/cramadematei</t>
  </si>
  <si>
    <t xml:space="preserve">Vintruvian portfolio-house narrative</t>
  </si>
  <si>
    <t xml:space="preserve">Portfolio strategy</t>
  </si>
  <si>
    <t xml:space="preserve">Connects Sarica Niculițel, Crama de Matei and multiple terroirs</t>
  </si>
  <si>
    <t xml:space="preserve">Markets complementary winery identities while retaining group-scale credibility.</t>
  </si>
  <si>
    <t xml:space="preserve">https://www.vintruvianestates.com/en</t>
  </si>
  <si>
    <t xml:space="preserve">ProWein trade presence</t>
  </si>
  <si>
    <t xml:space="preserve">Export / trade</t>
  </si>
  <si>
    <t xml:space="preserve">Crama de Matei and Prince Matei presented within Romania's ProWein presence</t>
  </si>
  <si>
    <t xml:space="preserve">Uses international trade fairs to support export and distributor development.</t>
  </si>
  <si>
    <t xml:space="preserve">https://www.prowein.de/vis-content/event-prowein2026/exh-prowein2026.3072143/ProWein-2026-APEV-Romania-Paper-prowein2026.3072143-mEnkWEMUTwSbTxdoWAVCfA.pdf</t>
  </si>
  <si>
    <t xml:space="preserve">Founder-led revival story</t>
  </si>
  <si>
    <t xml:space="preserve">Corporate narrative</t>
  </si>
  <si>
    <t xml:space="preserve">Turnaround from insolvency, long-term investment and renewed quality</t>
  </si>
  <si>
    <t xml:space="preserve">Provides a credible transformation story for press, trade and premium consumers.</t>
  </si>
  <si>
    <t xml:space="preserve">https://winesofromania.com/via-viticola-drumul-de-la-insolventa-la-vedeta-vinurilor-dobrogene/</t>
  </si>
  <si>
    <t xml:space="preserve">2021 / reusable</t>
  </si>
  <si>
    <t xml:space="preserve">Rețeta săptămânii</t>
  </si>
  <si>
    <t xml:space="preserve">Social engagement</t>
  </si>
  <si>
    <t xml:space="preserve">Instagram food-and-wine photo challenge with Caii de la Letea prizes</t>
  </si>
  <si>
    <t xml:space="preserve">Shows a repeatable recipe, pairing and user-generated-content mechanic.</t>
  </si>
  <si>
    <t xml:space="preserve">https://www.viaviticola.ro/retetasaptamanii</t>
  </si>
  <si>
    <t xml:space="preserve">Experiențe cu Vin la Budureasca</t>
  </si>
  <si>
    <t xml:space="preserve">Tourism / experience</t>
  </si>
  <si>
    <t xml:space="preserve">Tours, guided tastings and storytelling at the winery</t>
  </si>
  <si>
    <t xml:space="preserve">Packages winery expertise into a repeatable visitor proposition.</t>
  </si>
  <si>
    <t xml:space="preserve">https://www.comunicatedepresa.ro/budureasca-srl/experiente-cu-vin-la-budureasca/</t>
  </si>
  <si>
    <t xml:space="preserve">Cină în Vie</t>
  </si>
  <si>
    <t xml:space="preserve">Gastronomy / premium experience</t>
  </si>
  <si>
    <t xml:space="preserve">Vineyard dinner, curated pairings, winery tour and guided tasting</t>
  </si>
  <si>
    <t xml:space="preserve">Turns place, food and service into a high-value memory rather than a simple tasting.</t>
  </si>
  <si>
    <t xml:space="preserve">https://www.faraway.ro/experiente-dincolo-de-o-simpla-degustare-de-vin-in-inima-faimoasei-regiuni-dealu-mare/</t>
  </si>
  <si>
    <t xml:space="preserve">Festival des Vins de Saguenay</t>
  </si>
  <si>
    <t xml:space="preserve">Export / festival</t>
  </si>
  <si>
    <t xml:space="preserve">Canadian festival stand with tastings and Dealu Mare stories</t>
  </si>
  <si>
    <t xml:space="preserve">Uses international consumer festivals to develop export awareness face to face.</t>
  </si>
  <si>
    <t xml:space="preserve">https://www.festivinsaguenay.ca/</t>
  </si>
  <si>
    <t xml:space="preserve">ProWein and Alimentaria</t>
  </si>
  <si>
    <t xml:space="preserve">Trade / export</t>
  </si>
  <si>
    <t xml:space="preserve">International trade-fair participation</t>
  </si>
  <si>
    <t xml:space="preserve">Signals distributor ambition and gives the portfolio recurring B2B visibility.</t>
  </si>
  <si>
    <t xml:space="preserve">Decanter / The Sign</t>
  </si>
  <si>
    <t xml:space="preserve">Gold medal and Best Value storytelling for The Sign Tămâioasă Românească</t>
  </si>
  <si>
    <t xml:space="preserve">Turns third-party recognition into focused product proof.</t>
  </si>
  <si>
    <t xml:space="preserve">https://winesofromania.com/en/romania-decanter-world-wine-awards-2026/</t>
  </si>
  <si>
    <t xml:space="preserve">People of Budureasca</t>
  </si>
  <si>
    <t xml:space="preserve">Employer brand</t>
  </si>
  <si>
    <t xml:space="preserve">Profiles of finance, sales and operating team members</t>
  </si>
  <si>
    <t xml:space="preserve">Humanizes the company while explaining the capabilities behind growth.</t>
  </si>
  <si>
    <t xml:space="preserve">https://ro.linkedin.com/company/budureasca1/posts/?feedView=all</t>
  </si>
  <si>
    <t xml:space="preserve">Guided tasting community content</t>
  </si>
  <si>
    <t xml:space="preserve">Community / education</t>
  </si>
  <si>
    <t xml:space="preserve">Tasting recaps, guides and visitor stories</t>
  </si>
  <si>
    <t xml:space="preserve">Uses hospitality content to reduce intimidation and invite trial.</t>
  </si>
  <si>
    <t xml:space="preserve">https://www.linkedin.com/posts/budureasca1_cramabudureasca-wine-dealumare-activity-7360650635848966144-AikR</t>
  </si>
  <si>
    <t xml:space="preserve">c. 2018–2021</t>
  </si>
  <si>
    <t xml:space="preserve">Perceptum and The Mansion campaigns</t>
  </si>
  <si>
    <t xml:space="preserve">Agency-led brand building</t>
  </si>
  <si>
    <t xml:space="preserve">Perceptum signed the promotion of the Centenar collection and integrated video into the marketing mix; The Mansion Advertising produced „Budureasca Premium, o poveste despre perfecțiune”</t>
  </si>
  <si>
    <t xml:space="preserve">Sustained agency relationships rather than one-off briefs — unusual at this size and visible in the consistency of the range's look.</t>
  </si>
  <si>
    <t xml:space="preserve">https://www.iqads.ro/relevant/budureasca</t>
  </si>
  <si>
    <t xml:space="preserve">Food-waste prevention communication</t>
  </si>
  <si>
    <t xml:space="preserve">CSR / sustainability</t>
  </si>
  <si>
    <t xml:space="preserve">A published position on preventing and reducing food waste, alongside the sustainable development strategy declaration</t>
  </si>
  <si>
    <t xml:space="preserve">Sustainability is communicated as compliance and policy rather than as a consumer campaign.</t>
  </si>
  <si>
    <t xml:space="preserve">https://budureascawines.com/blog/</t>
  </si>
  <si>
    <t xml:space="preserve">Ne întărim echipa. De la 1912</t>
  </si>
  <si>
    <t xml:space="preserve">Celebrity / refresh</t>
  </si>
  <si>
    <t xml:space="preserve">Ilie Dumitrescu ambassador and football metaphors for ZAREA 5 and 7 Stele</t>
  </si>
  <si>
    <t xml:space="preserve">Modernizes heritage through a trusted national figure and performance language.</t>
  </si>
  <si>
    <t xml:space="preserve">https://zarea.ro/zarea-isi-intareste-echipa-cu-ilie-dumitrescu-o-campanie-despre-precizie-stil-si-spirit-de-echipa/</t>
  </si>
  <si>
    <t xml:space="preserve">Gustul ne aduce împreună de la 1912</t>
  </si>
  <si>
    <t xml:space="preserve">Masterbrand / togetherness</t>
  </si>
  <si>
    <t xml:space="preserve">Heritage platform linking taste, people and shared moments</t>
  </si>
  <si>
    <t xml:space="preserve">Gives a broad emotional frame that can stretch across categories.</t>
  </si>
  <si>
    <t xml:space="preserve">https://gustul.zarea.ro/</t>
  </si>
  <si>
    <t xml:space="preserve">Ce spumant avem la cină?</t>
  </si>
  <si>
    <t xml:space="preserve">Food pairing / education</t>
  </si>
  <si>
    <t xml:space="preserve">Sommelier pairing recommendations for everyday meals</t>
  </si>
  <si>
    <t xml:space="preserve">Moves sparkling wine from formal celebration into routine dining occasions.</t>
  </si>
  <si>
    <t xml:space="preserve">https://zarea.ro/iubitorii-vinurilor-spumante-se-pot-bucura-acum-de-noutatea-anului-zarea-prosecco-rose/</t>
  </si>
  <si>
    <t xml:space="preserve">Cocktail To Go</t>
  </si>
  <si>
    <t xml:space="preserve">Convenience / product</t>
  </si>
  <si>
    <t xml:space="preserve">Ready-to-serve single-serve cocktails</t>
  </si>
  <si>
    <t xml:space="preserve">Recruits casual and festival occasions with convenience and familiar flavors.</t>
  </si>
  <si>
    <t xml:space="preserve">https://zarea.ro/brand-explorer/cocktail-rtd/cocktail/</t>
  </si>
  <si>
    <t xml:space="preserve">Cocktail To Share</t>
  </si>
  <si>
    <t xml:space="preserve">Social occasion / product</t>
  </si>
  <si>
    <t xml:space="preserve">Larger ready-to-share cocktail format</t>
  </si>
  <si>
    <t xml:space="preserve">Builds a group-consumption proposition around effortless serving.</t>
  </si>
  <si>
    <t xml:space="preserve">https://zarea.ro/brand-explorer/cocktail-rtd/cocktail-to-share/</t>
  </si>
  <si>
    <t xml:space="preserve">Summer 2026</t>
  </si>
  <si>
    <t xml:space="preserve">Pe gustul verii</t>
  </si>
  <si>
    <t xml:space="preserve">Seasonal activation</t>
  </si>
  <si>
    <t xml:space="preserve">Festival-style menu spanning bubbles, RTDs, aperitifs and zero-alcohol drinks</t>
  </si>
  <si>
    <t xml:space="preserve">Activates the whole portfolio around outdoor summer occasions.</t>
  </si>
  <si>
    <t xml:space="preserve">https://zarea.ro/grillfest/</t>
  </si>
  <si>
    <t xml:space="preserve">Zero.0% extensions</t>
  </si>
  <si>
    <t xml:space="preserve">Moderation / innovation</t>
  </si>
  <si>
    <t xml:space="preserve">Alcohol-free still and sparkling wine variants</t>
  </si>
  <si>
    <t xml:space="preserve">Broadens the brand into moderation and inclusive social occasions.</t>
  </si>
  <si>
    <t xml:space="preserve">https://zarea.ro/brand-explorer/vinuri-spumante/zarea-zero/</t>
  </si>
  <si>
    <t xml:space="preserve">Jun. 2022</t>
  </si>
  <si>
    <t xml:space="preserve">ZAREA Free 0,0%</t>
  </si>
  <si>
    <t xml:space="preserve">An alcohol-free sparkling launched as „freedom without alcohol”</t>
  </si>
  <si>
    <t xml:space="preserve">First mover among these wineries into no-alcohol, a category driven by exactly the young urban drinkers sparkling needs.</t>
  </si>
  <si>
    <t xml:space="preserve">https://zarea.ro/zarea-free-00-libertate-fara-alcool/</t>
  </si>
  <si>
    <t xml:space="preserve">2022</t>
  </si>
  <si>
    <t xml:space="preserve">Sparkling-wine education series</t>
  </si>
  <si>
    <t xml:space="preserve">Content marketing</t>
  </si>
  <si>
    <t xml:space="preserve">A run of explainer posts on bubbles, corks, wellbeing and reasons to drink sparkling in summer</t>
  </si>
  <si>
    <t xml:space="preserve">Category education rather than brand advertising — the job is to make sparkling an everyday purchase, not a New Year one.</t>
  </si>
  <si>
    <t xml:space="preserve">https://zarea.ro/stiri/</t>
  </si>
  <si>
    <t xml:space="preserve">Entry into quality wines with Domeniile Dealu Mare</t>
  </si>
  <si>
    <t xml:space="preserve">Portfolio / partnership</t>
  </si>
  <si>
    <t xml:space="preserve">Zarea moved into quality still wines alongside the Domeniile Dealu Mare group of companies</t>
  </si>
  <si>
    <t xml:space="preserve">A sparkling house borrowing a still-wine estate rather than building one, which is the fast way into a new shelf.</t>
  </si>
  <si>
    <t xml:space="preserve">https://zarea.ro/zarea-intra-pe-piata-vinurilor-de-calitate-alaturi-de-grupul-de-firme-domeniile-dealu-mare/</t>
  </si>
  <si>
    <t xml:space="preserve">Nov. 2025</t>
  </si>
  <si>
    <t xml:space="preserve">Ilie Dumitrescu campaign</t>
  </si>
  <si>
    <t xml:space="preserve">A campaign about precision, style and team spirit built around the footballer Ilie Dumitrescu</t>
  </si>
  <si>
    <t xml:space="preserve">A 1990s national-team figure speaks to the generation that already buys Zarea, rather than chasing a new one.</t>
  </si>
  <si>
    <t xml:space="preserve">Caravana Cotnari — Din dragoste pentru vinul românesc</t>
  </si>
  <si>
    <t xml:space="preserve">National promotion</t>
  </si>
  <si>
    <t xml:space="preserve">Photo entry, daily doubling prizes and wine-for-life grand prizes</t>
  </si>
  <si>
    <t xml:space="preserve">Combines retail conversion, spectacle and national reach in a mobile activation.</t>
  </si>
  <si>
    <t xml:space="preserve">https://www.cramelecotnari.ro/concurs</t>
  </si>
  <si>
    <t xml:space="preserve">Vin de la Annabella ai cumpărat</t>
  </si>
  <si>
    <t xml:space="preserve">Minimum 50 RON purchase, receipt upload, daily cases and twice-weekly €100 prizes</t>
  </si>
  <si>
    <t xml:space="preserve">Uses a clear retailer-specific mechanic to increase basket value and CRM capture.</t>
  </si>
  <si>
    <t xml:space="preserve">https://www.cramelecotnari.ro/concurs/annabella</t>
  </si>
  <si>
    <t xml:space="preserve">Pădurea este a mea</t>
  </si>
  <si>
    <t xml:space="preserve">Entertainment partnership</t>
  </si>
  <si>
    <t xml:space="preserve">Promotional cinema-ticket mechanic</t>
  </si>
  <si>
    <t xml:space="preserve">Links wine purchase to a mainstream leisure reward.</t>
  </si>
  <si>
    <t xml:space="preserve">https://www.cramelecotnari.ro/concurs/padurea-este-a-mea</t>
  </si>
  <si>
    <t xml:space="preserve">Calculatorul de vin</t>
  </si>
  <si>
    <t xml:space="preserve">Utility / conversion</t>
  </si>
  <si>
    <t xml:space="preserve">Quantity calculator and packages for weddings, birthdays and celebrations</t>
  </si>
  <si>
    <t xml:space="preserve">Turns event planning into guided purchase and upsell.</t>
  </si>
  <si>
    <t xml:space="preserve">https://www.cramelecotnari.ro/calculator</t>
  </si>
  <si>
    <t xml:space="preserve">Patria vinului bine făcut</t>
  </si>
  <si>
    <t xml:space="preserve">Masterbrand / quality</t>
  </si>
  <si>
    <t xml:space="preserve">Brand platform and contest language around Romanian wine quality</t>
  </si>
  <si>
    <t xml:space="preserve">Creates a memorable quality claim rooted in place and national identity.</t>
  </si>
  <si>
    <t xml:space="preserve">https://www.cotnari.ro/concurs-cotnari-patria-vinului-bine-facut/</t>
  </si>
  <si>
    <t xml:space="preserve">Romanian grape and heritage education</t>
  </si>
  <si>
    <t xml:space="preserve">Origin / education</t>
  </si>
  <si>
    <t xml:space="preserve">Content around Cotnari varieties, history and wine occasions</t>
  </si>
  <si>
    <t xml:space="preserve">Keeps a mass-market portfolio anchored in recognizable Romanian provenance.</t>
  </si>
  <si>
    <t xml:space="preserve">https://www.cramelecotnari.ro/wineries/cotnari</t>
  </si>
  <si>
    <t xml:space="preserve">Apr. 2024</t>
  </si>
  <si>
    <t xml:space="preserve">„Crama Transparentă”</t>
  </si>
  <si>
    <t xml:space="preserve">Brand platform / transparency</t>
  </si>
  <si>
    <t xml:space="preserve">A campaign and dedicated platform at cramatransparenta.ro offering live streaming from the winery, access to all three cellars and a phone line to company representatives — presented as a Romanian first</t>
  </si>
  <si>
    <t xml:space="preserve">Radical transparency is a defensible claim for the largest producer of native varieties, and it answers the industrial-scale objection head on.</t>
  </si>
  <si>
    <t xml:space="preserve">https://www.bursa.ro/cotnari-lanseaza-campania-crama-transparenta-82564254</t>
  </si>
  <si>
    <t xml:space="preserve">#PurRomanesc</t>
  </si>
  <si>
    <t xml:space="preserve">Origin / masterbrand</t>
  </si>
  <si>
    <t xml:space="preserve">Only Romanian grape varieties, local history and premium dry-wine storytelling</t>
  </si>
  <si>
    <t xml:space="preserve">Creates clear differentiation through indigenous grapes and Romanian identity.</t>
  </si>
  <si>
    <t xml:space="preserve">https://www.vinuricotnari.ro/download/</t>
  </si>
  <si>
    <t xml:space="preserve">IRIS personality contest</t>
  </si>
  <si>
    <t xml:space="preserve">Like, share and choose the personality inspired by the IRIS range</t>
  </si>
  <si>
    <t xml:space="preserve">Uses product symbolism to encourage identity-based participation.</t>
  </si>
  <si>
    <t xml:space="preserve">https://www.vinuricotnari.ro/concurs-iris/</t>
  </si>
  <si>
    <t xml:space="preserve">Inedit / Departamentul de Distracție</t>
  </si>
  <si>
    <t xml:space="preserve">Social contest</t>
  </si>
  <si>
    <t xml:space="preserve">Playful contest and community-entry mechanics</t>
  </si>
  <si>
    <t xml:space="preserve">Gives a younger range a sociable, participatory tone.</t>
  </si>
  <si>
    <t xml:space="preserve">https://concurs.vinuricotnari.ro/concurs/</t>
  </si>
  <si>
    <t xml:space="preserve">Castelul Vlădoianu and Crama Transparentă</t>
  </si>
  <si>
    <t xml:space="preserve">Tourism / heritage</t>
  </si>
  <si>
    <t xml:space="preserve">Estate, architecture and transparent-production storytelling</t>
  </si>
  <si>
    <t xml:space="preserve">Turns physical assets into proof of provenance, craft and premium intent.</t>
  </si>
  <si>
    <t xml:space="preserve">https://www.vinuricotnari.ro/despre-noi/</t>
  </si>
  <si>
    <t xml:space="preserve">Native-variety portfolio storytelling</t>
  </si>
  <si>
    <t xml:space="preserve">Product architecture</t>
  </si>
  <si>
    <t xml:space="preserve">NAIV, ZAZ, Euforia, Vibe and Vlădoianu under a Romanian-grape philosophy</t>
  </si>
  <si>
    <t xml:space="preserve">Lets each range target a distinct mood while reinforcing one origin promise.</t>
  </si>
  <si>
    <t xml:space="preserve">Competition medals</t>
  </si>
  <si>
    <t xml:space="preserve">More than 100 national and international distinctions communicated as proof</t>
  </si>
  <si>
    <t xml:space="preserve">Supports a newer premium proposition with accumulated third-party recognition.</t>
  </si>
  <si>
    <t xml:space="preserve">https://www.vinuricotnari.ro/medalii-si-distinctii/</t>
  </si>
  <si>
    <t xml:space="preserve">Concours Mondial de Bruxelles medal cycle</t>
  </si>
  <si>
    <t xml:space="preserve">Multiple posts around grand gold, gold and silver medals</t>
  </si>
  <si>
    <t xml:space="preserve">Creates a sustained reputation campaign from each stage of an award result.</t>
  </si>
  <si>
    <t xml:space="preserve">https://results.concoursmondial.com/en/results/2026?_token=1I7UGtrCG0DTnA4nxsQuekCthI8BoAS0o6kPeTyE&amp;page=2&amp;search%5Bappellation%5D=all&amp;search%5Bcolor%5D=all&amp;search%5Bcountry%5D=Romania&amp;search%5Bregion%5D=all&amp;search%5Bsession%5D=concours-mondial-de-bruxelles-rose-wine-session</t>
  </si>
  <si>
    <t xml:space="preserve">3 Hectare Cabernet Sauvignon recognition</t>
  </si>
  <si>
    <t xml:space="preserve">Product proof</t>
  </si>
  <si>
    <t xml:space="preserve">Hero-product storytelling around a Grand Gold medal</t>
  </si>
  <si>
    <t xml:space="preserve">Focuses corporate quality claims through one memorable flagship wine.</t>
  </si>
  <si>
    <t xml:space="preserve">Charme de la Mer rosé medals</t>
  </si>
  <si>
    <t xml:space="preserve">Product / seasonal</t>
  </si>
  <si>
    <t xml:space="preserve">Gold and silver recognition for dry and semi-dry rosé variants</t>
  </si>
  <si>
    <t xml:space="preserve">Pairs summer-friendly product personality with external validation.</t>
  </si>
  <si>
    <t xml:space="preserve">Vinalies results</t>
  </si>
  <si>
    <t xml:space="preserve">Awards / export</t>
  </si>
  <si>
    <t xml:space="preserve">International medal recap linked to Dobrogea terroir</t>
  </si>
  <si>
    <t xml:space="preserve">Reinforces the same quality narrative across more than one judging institution.</t>
  </si>
  <si>
    <t xml:space="preserve">https://winesofromania.com/en/vinalies-internationales-2026-27-awards-romanian-wines/</t>
  </si>
  <si>
    <t xml:space="preserve">Holiday 2025</t>
  </si>
  <si>
    <t xml:space="preserve">Corporate gifting series</t>
  </si>
  <si>
    <t xml:space="preserve">Seasonal B2B</t>
  </si>
  <si>
    <t xml:space="preserve">Repeated office and partner gift scenarios with a direct order email</t>
  </si>
  <si>
    <t xml:space="preserve">Runs a concentrated conversion flight aimed at companies and client relationships.</t>
  </si>
  <si>
    <t xml:space="preserve">https://ro.linkedin.com/company/murfatlar-vinul/posts/?feedView=all</t>
  </si>
  <si>
    <t xml:space="preserve">Dobrogea terroir and product-family storytelling</t>
  </si>
  <si>
    <t xml:space="preserve">Origin / portfolio</t>
  </si>
  <si>
    <t xml:space="preserve">3 Hectare, Lacrima lui Ovidiu, Sec de Murfatlar, Zaraza and other labels</t>
  </si>
  <si>
    <t xml:space="preserve">Rebuilds brand meaning by connecting a broad portfolio to regional provenance.</t>
  </si>
  <si>
    <t xml:space="preserve">https://dagmar.ro/gama/3-hectare/</t>
  </si>
  <si>
    <t xml:space="preserve">Nov. 2023</t>
  </si>
  <si>
    <t xml:space="preserve">„Jumătate vin, jumătate viață” platform</t>
  </si>
  <si>
    <t xml:space="preserve">A communication platform launched by Murfatlar Vinul, created by the Propaganda agency</t>
  </si>
  <si>
    <t xml:space="preserve">The first coherent brand platform after the ownership change — the point where the rebuild becomes visible.</t>
  </si>
  <si>
    <t xml:space="preserve">https://www.iqads.ro/relevant/murfatlar</t>
  </si>
  <si>
    <t xml:space="preserve">Lacrima lui Ovidiu 12 and „Moștenire pentru viitor”</t>
  </si>
  <si>
    <t xml:space="preserve">Product / heritage</t>
  </si>
  <si>
    <t xml:space="preserve">A twelve-year expression of the historic Lacrima lui Ovidiu, alongside a heritage-framed communication</t>
  </si>
  <si>
    <t xml:space="preserve">The oldest asset in the portfolio is used to argue continuity through a change of owner.</t>
  </si>
  <si>
    <t xml:space="preserve">https://murfatlar-vinul.ro/noutati/</t>
  </si>
  <si>
    <t xml:space="preserve">Feb. 2025</t>
  </si>
  <si>
    <t xml:space="preserve">Vermut and Aperitiv Mamaia</t>
  </si>
  <si>
    <t xml:space="preserve">Two aperitif products launched under the Mamaia name</t>
  </si>
  <si>
    <t xml:space="preserve">Moves outside wine into aperitifs, using a seaside place name the whole country recognises.</t>
  </si>
  <si>
    <t xml:space="preserve">Aerosoli Prosecco</t>
  </si>
  <si>
    <t xml:space="preserve">A Prosecco added to the Aerosoli line, which also collected gold at Vinalies Internationales 2026</t>
  </si>
  <si>
    <t xml:space="preserve">An Italian-style sparkling under a Romanian sub-brand, launched into the category growing fastest at retail.</t>
  </si>
  <si>
    <t xml:space="preserve">Dec. 2025</t>
  </si>
  <si>
    <t xml:space="preserve">Câștigă cu MOTIV la Radio ZU</t>
  </si>
  <si>
    <t xml:space="preserve">Radio challenge using SMS/WhatsApp participation and MOTIV wine prizes</t>
  </si>
  <si>
    <t xml:space="preserve">Pairs mass-reach audio with a low-friction entry mechanic and product gifting.</t>
  </si>
  <si>
    <t xml:space="preserve">https://radiozu.ro/concursuri/castiga-cu-motiv-la-radio-zu-598</t>
  </si>
  <si>
    <t xml:space="preserve">Crama Ceptura ne aduce împreună</t>
  </si>
  <si>
    <t xml:space="preserve">Masterbrand platform</t>
  </si>
  <si>
    <t xml:space="preserve">Togetherness message used across the official brand and portfolio</t>
  </si>
  <si>
    <t xml:space="preserve">Creates a broad occasion-led promise that can stretch across multiple price tiers and collections.</t>
  </si>
  <si>
    <t xml:space="preserve">Decanter medal amplification</t>
  </si>
  <si>
    <t xml:space="preserve">Group communication highlighted 61 medals and included Crama Ceptura labels</t>
  </si>
  <si>
    <t xml:space="preserve">Uses third-party validation to reinforce quality and premium credentials.</t>
  </si>
  <si>
    <t xml:space="preserve">https://purcariwineries.com/rezultate-decanter-2024/</t>
  </si>
  <si>
    <t xml:space="preserve">ProWein national-pavilion presence</t>
  </si>
  <si>
    <t xml:space="preserve">Brand represented within Romania's ProWein exhibitor activity</t>
  </si>
  <si>
    <t xml:space="preserve">Builds distributor awareness and export credibility through recurring industry-fair participation.</t>
  </si>
  <si>
    <t xml:space="preserve">Vrancea expansion announcement</t>
  </si>
  <si>
    <t xml:space="preserve">Corporate growth</t>
  </si>
  <si>
    <t xml:space="preserve">Purcari communicated the CaraprodVin transaction through Crama Ceptura</t>
  </si>
  <si>
    <t xml:space="preserve">Turns geographic expansion into a provenance and scale narrative for stakeholders.</t>
  </si>
  <si>
    <t xml:space="preserve">https://purcariwineries.com/purcari-wineries-se-extinde-in-vrancea/</t>
  </si>
  <si>
    <t xml:space="preserve">Multi-tier collection architecture</t>
  </si>
  <si>
    <t xml:space="preserve">Portfolio marketing</t>
  </si>
  <si>
    <t xml:space="preserve">Alb &amp; Negru, Magnus Monte, Astrum Cervi, Dominum Cervi and other named ranges</t>
  </si>
  <si>
    <t xml:space="preserve">Uses distinctive collection names to cover accessible, premium and occasion-led segments.</t>
  </si>
  <si>
    <t xml:space="preserve">2019</t>
  </si>
  <si>
    <t xml:space="preserve">„Ne aduce împreună” brand repositioning (Roadtrip)</t>
  </si>
  <si>
    <t xml:space="preserve">Brand platform launch</t>
  </si>
  <si>
    <t xml:space="preserve">Repositioning TVC built on a road-trip story and a 1980s Romanian song, agency United Pencils; moved the brand off product-and-terroir messaging onto everyday social occasions</t>
  </si>
  <si>
    <t xml:space="preserve">The origin of the togetherness platform: identity is built on people and occasions rather than on the vineyard, which is what lets one masterbrand carry several price tiers.</t>
  </si>
  <si>
    <t xml:space="preserve">https://www.iqads.ro/articol/48744/case-study-crama-ceptura-o-campanie-fireasca-despre-oameni</t>
  </si>
  <si>
    <t xml:space="preserve">Jul. 2020</t>
  </si>
  <si>
    <t xml:space="preserve">„Împreună pentru mai bine!”</t>
  </si>
  <si>
    <t xml:space="preserve">Solidarity / purpose</t>
  </si>
  <si>
    <t xml:space="preserve">Pandemic-era campaign calling on Romanian entrepreneurs to support one another</t>
  </si>
  <si>
    <t xml:space="preserve">Stretches the togetherness platform from consumer occasions to business solidarity, keeping one message live through a period with no events to sponsor.</t>
  </si>
  <si>
    <t xml:space="preserve">https://www.iqads.ro/articol/51170/impreuna-pentru-mai-bine-crama-ceptura-lanseaza-o-campanie-indemn-la</t>
  </si>
  <si>
    <t xml:space="preserve">Nov. 2021</t>
  </si>
  <si>
    <t xml:space="preserve">Magic FM „Magic Hour” co-promotion</t>
  </si>
  <si>
    <t xml:space="preserve">Radio partnership</t>
  </si>
  <si>
    <t xml:space="preserve">Daily on-air contest over three weeks, 15 prizes pairing a 3-bottle Magnus set with a set of books, SMS entry</t>
  </si>
  <si>
    <t xml:space="preserve">Borrows a station's own audience rather than buying spots, and matches the prize (wine plus books) to that station's listener profile.</t>
  </si>
  <si>
    <t xml:space="preserve">https://www.magicfm.ro/pagini/178/</t>
  </si>
  <si>
    <t xml:space="preserve">Dec. 2021</t>
  </si>
  <si>
    <t xml:space="preserve">„Împreună, dincolo de granițe”</t>
  </si>
  <si>
    <t xml:space="preserve">TV brand campaign</t>
  </si>
  <si>
    <t xml:space="preserve">Humour-led TV, online and social films about a mixed-nationality family meeting, agency KUBIS</t>
  </si>
  <si>
    <t xml:space="preserve">Renews the platform by testing it against a topical Romanian reality — families spread across borders — instead of restating it.</t>
  </si>
  <si>
    <t xml:space="preserve">https://www.iqads.ro/articol/57608/kubis-semneaza-noua-campanie-tv-pentru-crama-ceptura-impreuna-dincolo-de-granite</t>
  </si>
  <si>
    <t xml:space="preserve">Rock FM „Vinuri premiate”</t>
  </si>
  <si>
    <t xml:space="preserve">Five daily prizes of six Purcari-portfolio bottles (476 lei each), entry by SMS or WhatsApp voice message, organised by SC Crama Ceptura SRL</t>
  </si>
  <si>
    <t xml:space="preserve">Shows the Romanian entity running promotions for the whole group portfolio, not only its own labels — the local marketing team is the group's route to Romanian consumers.</t>
  </si>
  <si>
    <t xml:space="preserve">https://www.rockfm.ro/pagini/311/regulament-rock-fm-campanie-promotionala-vinuri-premiate</t>
  </si>
  <si>
    <t xml:space="preserve">Brand-origin dispute over the „Ceptura” name</t>
  </si>
  <si>
    <t xml:space="preserve">Reputation risk</t>
  </si>
  <si>
    <t xml:space="preserve">Trade press reported 2024 rosé sold under the registered Crama Ceptura mark whose back label declared wine produced in the Republic of Moldova, while Ceptura is a protected sub-appellation; a competing winery leader called it a breach of the wine law</t>
  </si>
  <si>
    <t xml:space="preserve">The cost of a place-name masterbrand: sourcing outside the appellation turns the brand's strongest asset into a line of attack for competitors and trade media.</t>
  </si>
  <si>
    <t xml:space="preserve">https://vinul.ro/purcari-crama-ceptura-incalcarea-legislatiei-vinului.html</t>
  </si>
  <si>
    <t xml:space="preserve">SIWS Expo and Vinexpo America, APEV Romania pavilion</t>
  </si>
  <si>
    <t xml:space="preserve">Exhibited within the Romanian producers' association pavilion at domestic and US trade fairs</t>
  </si>
  <si>
    <t xml:space="preserve">Keeps a trade-facing calendar running alongside the consumer platform; this is how the distributor and export side is worked, separately from the TV and radio work.</t>
  </si>
  <si>
    <t xml:space="preserve">https://apev.info.ro/2025-02-siws-expo-crama-ceptura/</t>
  </si>
  <si>
    <t xml:space="preserve">Vinalies Internationales 2026 medals</t>
  </si>
  <si>
    <t xml:space="preserve">Three golds and one silver — Collection Motiv Rosé and Alb, Collection Magnus Rosé and Alb, all 2025 vintages — within Romania's 27 medals at the edition</t>
  </si>
  <si>
    <t xml:space="preserve">The medals land on the mainstream Motiv and Magnus ranges rather than on a flagship, so third-party validation reaches the volume tiers that actually carry the brand.</t>
  </si>
  <si>
    <t xml:space="preserve">https://winesofromania.com/vinalies-internationales-2026-medalii-romania/</t>
  </si>
  <si>
    <t xml:space="preserve">Decanter World Wine Awards 2026</t>
  </si>
  <si>
    <t xml:space="preserve">Six medals, level with Crama Gîrboiu and behind only Casa de Vinuri Cotnari and Murfatlar among Romanian producers, out of 112 Romanian medals</t>
  </si>
  <si>
    <t xml:space="preserve">Sustains the annual awards drumbeat begun with the 2024 Decanter cycle and gives the trade a fixed yearly comparison point against the other large producers.</t>
  </si>
  <si>
    <t xml:space="preserve">May 2026</t>
  </si>
  <si>
    <t xml:space="preserve">SERVE Ceptura acquisition completed</t>
  </si>
  <si>
    <t xml:space="preserve">Purcari completed the purchase of SERVE Ceptura — Romania's first private winery after 1989, about 60 ha and 500,000 bottles a year — sited 1.5 km from Crama Ceptura</t>
  </si>
  <si>
    <t xml:space="preserve">Buys a heritage and founder story the mass-market masterbrand cannot tell about itself, and puts both Ceptura names under one owner.</t>
  </si>
  <si>
    <t xml:space="preserve">https://www.zf.ro/burse-fonduri-mutuale/bursa-purcari-a-finalizat-achizitia-cramei-serve-ceptura-una-dintre-23154069</t>
  </si>
  <si>
    <t xml:space="preserve">„Cu 14 zile mai mult soare”</t>
  </si>
  <si>
    <t xml:space="preserve">Terroir claim</t>
  </si>
  <si>
    <t xml:space="preserve">Standing Dealu Mare positioning line carried across the winery's own site, trade profiles and producer write-ups</t>
  </si>
  <si>
    <t xml:space="preserve">One quantified terroir claim does the work an origin story would, and sits alongside the people-first masterbrand message without competing with it.</t>
  </si>
  <si>
    <t xml:space="preserve">https://usatradetasting.com/en/blog/producer-profiles-76/crama-ceptura-a-vineyard-with-14-days-of-extra-sunshine-381.htm</t>
  </si>
  <si>
    <t xml:space="preserve">June 2026</t>
  </si>
  <si>
    <t xml:space="preserve">Diamond Selection Zghihară sparkling launch</t>
  </si>
  <si>
    <t xml:space="preserve">Traditional-method sparkling wine from the indigenous Zghihară de Huși variety</t>
  </si>
  <si>
    <t xml:space="preserve">Premiumizes a local grape through scarcity, method and first-of-kind storytelling.</t>
  </si>
  <si>
    <t xml:space="preserve">https://www.linkedin.com/company/domeniile-averesti-romania/posts/?feedView=all</t>
  </si>
  <si>
    <t xml:space="preserve">Ione Cuvée 50 launch</t>
  </si>
  <si>
    <t xml:space="preserve">Product / personality launch</t>
  </si>
  <si>
    <t xml:space="preserve">A documented celebratory sparkling-wine launch centered on Romanian identity</t>
  </si>
  <si>
    <t xml:space="preserve">Combines a named cuvée, milestone occasion and indigenous-variety innovation.</t>
  </si>
  <si>
    <t xml:space="preserve">https://tvmania.libertatea.ro/ionela-nastase-lupta-cancer-emisiune-la-cina-digi-24-626142</t>
  </si>
  <si>
    <t xml:space="preserve">#CuriozitateaAverești</t>
  </si>
  <si>
    <t xml:space="preserve">Education / content series</t>
  </si>
  <si>
    <t xml:space="preserve">Short-form wine knowledge, serving and varietal education</t>
  </si>
  <si>
    <t xml:space="preserve">Builds frequency and consideration by making specialist knowledge approachable.</t>
  </si>
  <si>
    <t xml:space="preserve">https://winesofromania.com/busuioaca-domeniile-averesti-vinuri-rose-alb-cupaj</t>
  </si>
  <si>
    <t xml:space="preserve">ProWine Tokyo</t>
  </si>
  <si>
    <t xml:space="preserve">Romanian national-pavilion participation in Japan</t>
  </si>
  <si>
    <t xml:space="preserve">Supports a broader internationalization narrative around Romanian native varieties.</t>
  </si>
  <si>
    <t xml:space="preserve">https://ro.linkedin.com/pulse/rom%C3%A2nia-prowine-tokyo-2026-c%C3%A2nd-consecven%C8%9Ba-devine-strategie-petran-qh5sf</t>
  </si>
  <si>
    <t xml:space="preserve">ProWein Düsseldorf</t>
  </si>
  <si>
    <t xml:space="preserve">Exhibitor communication and professional-market meetings</t>
  </si>
  <si>
    <t xml:space="preserve">Shows a repeated trade-fair pattern rather than a one-off export push.</t>
  </si>
  <si>
    <t xml:space="preserve">https://ro.linkedin.com/posts/domeniile-averesti-romania_domeniileaveresti-prowein2025-vinromanesc-activity-7306326620682739714-LfKW</t>
  </si>
  <si>
    <t xml:space="preserve">2023</t>
  </si>
  <si>
    <t xml:space="preserve">Povestea Alb Vișinie</t>
  </si>
  <si>
    <t xml:space="preserve">Sports / retail partnership</t>
  </si>
  <si>
    <t xml:space="preserve">FC Rapid 1923 and Auchan collaboration around a club-colored wine story</t>
  </si>
  <si>
    <t xml:space="preserve">Uses fandom, retail reach and a shared color code to create cultural relevance.</t>
  </si>
  <si>
    <t xml:space="preserve">https://ro.linkedin.com/posts/auchan_ast%C4%83zi-am-lansat-%C3%AEmpreun%C4%83-cu-fc-rapid-1923-activity-7064937368985714688-37vm</t>
  </si>
  <si>
    <t xml:space="preserve">Enjoy the difference at TIFF</t>
  </si>
  <si>
    <t xml:space="preserve">Culture / sampling</t>
  </si>
  <si>
    <t xml:space="preserve">Romanian native-variety presentation within a major film-festival context</t>
  </si>
  <si>
    <t xml:space="preserve">Links discovery and Romanian origin with an urban cultural audience.</t>
  </si>
  <si>
    <t xml:space="preserve">https://ro.linkedin.com/posts/marius-tudor-lupuleasa-b9925a245_doarsoiuripureromanesti-cotnari-casadevinuricotnari-activity-7209251066436059137-F3T6</t>
  </si>
  <si>
    <t xml:space="preserve">Concours Mondial medal communication</t>
  </si>
  <si>
    <t xml:space="preserve">Gold and silver-medal results promoted through company channels</t>
  </si>
  <si>
    <t xml:space="preserve">Reinforces premium repositioning with independent competition proof points.</t>
  </si>
  <si>
    <t xml:space="preserve">First traditional-method Zghihară and first barrel-aged Chardonnay</t>
  </si>
  <si>
    <t xml:space="preserve">A traditional-method sparkling Zghihară in the Diamond Selection range and the estate's first oak-aged Chardonnay, both shown at RO-Wine Spring 2026</t>
  </si>
  <si>
    <t xml:space="preserve">Extends the indigenous-variety premiumisation already recorded into the sparkling category, where Zghihară has no established competitor.</t>
  </si>
  <si>
    <t xml:space="preserve">https://winesofromania.com/en/new-wines-and-must-try-labels-at-ro-wine-spring-2026/</t>
  </si>
  <si>
    <t xml:space="preserve">Historic winery reopening</t>
  </si>
  <si>
    <t xml:space="preserve">Heritage / destination</t>
  </si>
  <si>
    <t xml:space="preserve">Reopening of a historic winery after approximately 70 years</t>
  </si>
  <si>
    <t xml:space="preserve">Turns restoration into a high-salience heritage and wine-tourism story.</t>
  </si>
  <si>
    <t xml:space="preserve">https://tohaniromania.com/pages/despre-noi</t>
  </si>
  <si>
    <t xml:space="preserve">Anniversary packages with complimentary tours</t>
  </si>
  <si>
    <t xml:space="preserve">Promotion / tourism</t>
  </si>
  <si>
    <t xml:space="preserve">Anniversary bundles connected product purchase with estate visits</t>
  </si>
  <si>
    <t xml:space="preserve">Uses the anniversary to convert e-commerce interest into destination engagement.</t>
  </si>
  <si>
    <t xml:space="preserve">https://tohaniromania.com/pages/degustari</t>
  </si>
  <si>
    <t xml:space="preserve">Subcarpați at Tohani</t>
  </si>
  <si>
    <t xml:space="preserve">Music / vineyard experience</t>
  </si>
  <si>
    <t xml:space="preserve">Fourth consecutive year of a large-format vineyard concert</t>
  </si>
  <si>
    <t xml:space="preserve">A repeatable cultural property that combines contemporary Romanian music, wine and place.</t>
  </si>
  <si>
    <t xml:space="preserve">https://m.iabilet.ro/bilete-concert-subcarpati-la-tohani-muzica-si-cules-de-vie-128750/</t>
  </si>
  <si>
    <t xml:space="preserve">Vino unde se face vinul</t>
  </si>
  <si>
    <t xml:space="preserve">Harvest / experiential</t>
  </si>
  <si>
    <t xml:space="preserve">Harvest celebrations, tastings and live events run for nearly a decade</t>
  </si>
  <si>
    <t xml:space="preserve">Creates a durable seasonal platform around participation in the making of wine.</t>
  </si>
  <si>
    <t xml:space="preserve">https://tohaniromania.com/pages/evenimente</t>
  </si>
  <si>
    <t xml:space="preserve">Cu mâinile murdare</t>
  </si>
  <si>
    <t xml:space="preserve">Harvest / live event</t>
  </si>
  <si>
    <t xml:space="preserve">Hands-on harvest activity paired with music and estate hospitality</t>
  </si>
  <si>
    <t xml:space="preserve">Makes agricultural authenticity social, tactile and shareable.</t>
  </si>
  <si>
    <t xml:space="preserve">Cu picioarele goale</t>
  </si>
  <si>
    <t xml:space="preserve">Vineyard concert series</t>
  </si>
  <si>
    <t xml:space="preserve">Outdoor concerts, tastings and relaxed vineyard participation</t>
  </si>
  <si>
    <t xml:space="preserve">Builds an informal lifestyle counterpoint to the brand's royal and historic narratives.</t>
  </si>
  <si>
    <t xml:space="preserve">Mauve Wine Experience</t>
  </si>
  <si>
    <t xml:space="preserve">Immersive event</t>
  </si>
  <si>
    <t xml:space="preserve">Themed wine-and-music experience at the estate</t>
  </si>
  <si>
    <t xml:space="preserve">Uses a named experiential property to package atmosphere, color and product discovery.</t>
  </si>
  <si>
    <t xml:space="preserve">https://tohaniromania.com/blogs/noutati/mauve-wine-experience-iii-festival-de-muzica-%C8%99i-film-in-via-tohani-romania</t>
  </si>
  <si>
    <t xml:space="preserve">Tohani Trail Race</t>
  </si>
  <si>
    <t xml:space="preserve">Sports / destination</t>
  </si>
  <si>
    <t xml:space="preserve">Running event through the vineyard landscape</t>
  </si>
  <si>
    <t xml:space="preserve">Extends the estate into active-lifestyle tourism and introduces nontraditional wine occasions.</t>
  </si>
  <si>
    <t xml:space="preserve">https://tohaniromania.com/blogs/noutati/tohani-trail-race-2022</t>
  </si>
  <si>
    <t xml:space="preserve">Apogeum limited-release cycle</t>
  </si>
  <si>
    <t xml:space="preserve">Premiumization / scarcity</t>
  </si>
  <si>
    <t xml:space="preserve">Numbered or limited Fetească Neagră releases, including pre-sale communication</t>
  </si>
  <si>
    <t xml:space="preserve">Combines a hero Romanian grape with scarcity and collector-oriented release mechanics.</t>
  </si>
  <si>
    <t xml:space="preserve">https://tohaniromania.com/blogs/noutati/apogeum-2019-este-acum-disponibil</t>
  </si>
  <si>
    <t xml:space="preserve">Always on</t>
  </si>
  <si>
    <t xml:space="preserve">Wine-tourism tasting and stay packages</t>
  </si>
  <si>
    <t xml:space="preserve">Oenotourism</t>
  </si>
  <si>
    <t xml:space="preserve">Estate tastings, accommodation and curated visitor packages</t>
  </si>
  <si>
    <t xml:space="preserve">Converts the physical estate and hospitality capacity into an ongoing acquisition channel.</t>
  </si>
  <si>
    <t xml:space="preserve">https://tohaniromania.com/pages/enoturism</t>
  </si>
  <si>
    <t xml:space="preserve">c. 2021</t>
  </si>
  <si>
    <t xml:space="preserve">Experiential enotourism — public harvest</t>
  </si>
  <si>
    <t xml:space="preserve">The company invited the public to pick grapes at the Tohani estate, giving a bottle for every five buckets picked</t>
  </si>
  <si>
    <t xml:space="preserve">Turns unpaid labour into a paid-for experience, and the harvest into a marketing event.</t>
  </si>
  <si>
    <t xml:space="preserve">https://www.iqads.ro/articol/56112/tohani-romania-mutare-in-enoturism-experiential-compania-cheama-publicul-la</t>
  </si>
  <si>
    <t xml:space="preserve">2023–2025</t>
  </si>
  <si>
    <t xml:space="preserve">Subcarpați concerts in the vineyard</t>
  </si>
  <si>
    <t xml:space="preserve">Experiential / events</t>
  </si>
  <si>
    <t xml:space="preserve">The band Subcarpați played in the vineyard for a third consecutive year in 2025, joined by Frate Gheorghe, as part of the harvest celebration</t>
  </si>
  <si>
    <t xml:space="preserve">One act booked three years running builds an annual fixture; the music is Romanian folk-hip-hop, which matches the native-variety story.</t>
  </si>
  <si>
    <t xml:space="preserve">https://www.iabilet.ro/bilete-tohani-concert-subcarpati-muzica-si-cules-de-vie-113453/</t>
  </si>
  <si>
    <t xml:space="preserve">Cu Drag MT cultural partnership</t>
  </si>
  <si>
    <t xml:space="preserve">Culture / sponsorship</t>
  </si>
  <si>
    <t xml:space="preserve">Brand support for a cultural project featuring Iacob</t>
  </si>
  <si>
    <t xml:space="preserve">Selective sponsorship aligns the brand with thoughtful, premium cultural contexts.</t>
  </si>
  <si>
    <t xml:space="preserve">https://www.linkedin.com/pulse/making-bucharest-great-again-meda-topirceanu-sings-maria-emmerling-zkykf</t>
  </si>
  <si>
    <t xml:space="preserve">Spring 2026</t>
  </si>
  <si>
    <t xml:space="preserve">Vast 2025 and Iacob 2025 premieres</t>
  </si>
  <si>
    <t xml:space="preserve">New-vintage debuts at RO-Wine Spring</t>
  </si>
  <si>
    <t xml:space="preserve">Uses curated festival premieres to reach high-intent wine audiences.</t>
  </si>
  <si>
    <t xml:space="preserve">Feb. 2026</t>
  </si>
  <si>
    <t xml:space="preserve">Universul Davino masterclass</t>
  </si>
  <si>
    <t xml:space="preserve">Education / tasting</t>
  </si>
  <si>
    <t xml:space="preserve">Portfolio masterclass at Sibiu Wine Festival</t>
  </si>
  <si>
    <t xml:space="preserve">Builds brand depth through guided education rather than broad discounting.</t>
  </si>
  <si>
    <t xml:space="preserve">https://www.iabilet.ro/bilete-sibiu-masterclass-universul-davino-sibiu-wine-festival-122883/?nomobile=1</t>
  </si>
  <si>
    <t xml:space="preserve">Trilogia Davino</t>
  </si>
  <si>
    <t xml:space="preserve">Vertical tasting / education</t>
  </si>
  <si>
    <t xml:space="preserve">Paired-vintage masterclass across signature labels</t>
  </si>
  <si>
    <t xml:space="preserve">Makes cellar depth and vintage variation part of the premium brand experience.</t>
  </si>
  <si>
    <t xml:space="preserve">https://www.transilvaniabusiness.ro/wp-content/uploads/2026/03/tb119-final_tipar.pdf</t>
  </si>
  <si>
    <t xml:space="preserve">VINARIUM medal amplification</t>
  </si>
  <si>
    <t xml:space="preserve">Competition recognition for Iacob Alb, Iacob Roșu and Purpura Valahica</t>
  </si>
  <si>
    <t xml:space="preserve">Uses independent judging to validate the core premium portfolio.</t>
  </si>
  <si>
    <t xml:space="preserve">https://www.iwcb.ro/registration/results.php?category=All&amp;commercial_brand=&amp;country=All&amp;edition=All&amp;medal=All&amp;producer_importer=&amp;sort_by=&amp;sort_order=</t>
  </si>
  <si>
    <t xml:space="preserve">Curated premium and HoReCa storytelling</t>
  </si>
  <si>
    <t xml:space="preserve">Brand positioning</t>
  </si>
  <si>
    <t xml:space="preserve">Small-production, terroir and restaurant-led brand communication</t>
  </si>
  <si>
    <t xml:space="preserve">Maintains exclusivity through selective distribution, education and vintage narratives.</t>
  </si>
  <si>
    <t xml:space="preserve">https://davino.ro/experienta</t>
  </si>
  <si>
    <t xml:space="preserve">Vast 2025 and Iacob 2025 at RO-Wine Spring</t>
  </si>
  <si>
    <t xml:space="preserve">Two new white wines premiered at the RO-Wine Spring 2026 trade and consumer fair on 23 May 2026</t>
  </si>
  <si>
    <t xml:space="preserve">Continues the pattern already recorded for Davino: named premieres introduced at a curated fair rather than through retail promotion.</t>
  </si>
  <si>
    <t xml:space="preserve">Naiada online-sales growth campaign</t>
  </si>
  <si>
    <t xml:space="preserve">E-commerce / product</t>
  </si>
  <si>
    <t xml:space="preserve">Digital promotion of the Naiada range and reported online sales growth</t>
  </si>
  <si>
    <t xml:space="preserve">Treats direct-to-consumer commerce as an active brand and conversion channel.</t>
  </si>
  <si>
    <t xml:space="preserve">https://www.domeniileostrov.ro/blogs/comunicate-de-presa/romanii-cumpara-mai-mult-vin-online-in-2025-domeniile-ostrov-anun%C8%9Ba-cre%C8%99teri-semnificative-in-vanzarile-online-ale-gamei-naiada</t>
  </si>
  <si>
    <t xml:space="preserve">International medal communication</t>
  </si>
  <si>
    <t xml:space="preserve">Press releases highlighted international competition results</t>
  </si>
  <si>
    <t xml:space="preserve">Uses awards to raise perceived quality across accessible Romanian ranges.</t>
  </si>
  <si>
    <t xml:space="preserve">https://www.domeniileostrov.ro/blogs/comunicate-de-presa/vinurile-domeniile-ostrov-recunoscute-interna%C8%9Bional-medalii-de-aur-%C8%99i-argint-la-competi%C8%9Bii-prestigioase</t>
  </si>
  <si>
    <t xml:space="preserve">Pelin relaunch</t>
  </si>
  <si>
    <t xml:space="preserve">Heritage / product relaunch</t>
  </si>
  <si>
    <t xml:space="preserve">Revival of a traditional aromatized-wine proposition</t>
  </si>
  <si>
    <t xml:space="preserve">Turns Romanian drinking tradition into a contemporary portfolio story.</t>
  </si>
  <si>
    <t xml:space="preserve">https://www.domeniileostrov.ro/blogs/comunicate-de-presa/domeniile-ostrov-readuce-in-aten%C8%9Bia-romanilor-vinul-pelin-o-tradi%C8%9Bie-dulce-amaruie</t>
  </si>
  <si>
    <t xml:space="preserve">Jan. 2026</t>
  </si>
  <si>
    <t xml:space="preserve">Wines of the Month</t>
  </si>
  <si>
    <t xml:space="preserve">Seasonal merchandising</t>
  </si>
  <si>
    <t xml:space="preserve">Monthly editorial selection and pairing-led product recommendations</t>
  </si>
  <si>
    <t xml:space="preserve">Creates a repeatable content-and-commerce cadence around seasonal choice.</t>
  </si>
  <si>
    <t xml:space="preserve">https://www.domeniileostrov.ro/blogs/blog-domeniile-ostrov/vinurile-lunii-ianuarie-de-la-domeniile-ostrov-deschid-anul-cu-rafinament-%C8%99i-expresivitate</t>
  </si>
  <si>
    <t xml:space="preserve">Naiada 3+1 promotion</t>
  </si>
  <si>
    <t xml:space="preserve">Sales promotion</t>
  </si>
  <si>
    <t xml:space="preserve">Buy-three-get-one-free mechanic on the direct store</t>
  </si>
  <si>
    <t xml:space="preserve">Uses a simple case-building incentive to support trial and basket size.</t>
  </si>
  <si>
    <t xml:space="preserve">https://www.domeniileostrov.ro/collections/naiada</t>
  </si>
  <si>
    <t xml:space="preserve">WBWE Amsterdam</t>
  </si>
  <si>
    <t xml:space="preserve">Bulk-wine and international-buyer participation</t>
  </si>
  <si>
    <t xml:space="preserve">Adds a business-to-business export track alongside consumer e-commerce activity.</t>
  </si>
  <si>
    <t xml:space="preserve">https://worldbulkwine.com/newfront/exhibitor/ostrovit-sa</t>
  </si>
  <si>
    <t xml:space="preserve">Romanian pavilion participation in Japan</t>
  </si>
  <si>
    <t xml:space="preserve">Shows a repeated export pattern built around national provenance and distributor development.</t>
  </si>
  <si>
    <t xml:space="preserve">Aug. 2022</t>
  </si>
  <si>
    <t xml:space="preserve">Rosé volume leadership claim</t>
  </si>
  <si>
    <t xml:space="preserve">Category leadership</t>
  </si>
  <si>
    <t xml:space="preserve">1.2 million litres of rosé sold in 2021 and a public claim to lead the quality rosé market, argued by CEO Oana Belu</t>
  </si>
  <si>
    <t xml:space="preserve">Leads with a volume number rather than a medal — the argument of a producer that sells through grocery retail.</t>
  </si>
  <si>
    <t xml:space="preserve">https://www.domeniileostrov.ro/blogs/blog/domeniile-ostrov-lider-pe-piata-vinului-rose-de-calitate</t>
  </si>
  <si>
    <t xml:space="preserve">Dec. 2022</t>
  </si>
  <si>
    <t xml:space="preserve">Year-end party with Smiley, Juno and Delia</t>
  </si>
  <si>
    <t xml:space="preserve">A large end-of-year event headlined by three mainstream Romanian acts</t>
  </si>
  <si>
    <t xml:space="preserve">Mass-market music for a mass-market wine — the entertainment matches where the product sells.</t>
  </si>
  <si>
    <t xml:space="preserve">https://www.domeniileostrov.ro/blogs/blog/domeniile-ostrov-petrecere-cu-fast-la-final-de-2022</t>
  </si>
  <si>
    <t xml:space="preserve">Distribution across Lidl, Kaufland, METRO, Cora and Auchan</t>
  </si>
  <si>
    <t xml:space="preserve">Retail / trade</t>
  </si>
  <si>
    <t xml:space="preserve">Public communication of Dobrogea wines listed across the national grocery chains, alongside a 45 million lei turnover</t>
  </si>
  <si>
    <t xml:space="preserve">Distribution breadth is itself the message, aimed at trade and investors as much as at drinkers.</t>
  </si>
  <si>
    <t xml:space="preserve">https://www.domeniileostrov.ro/blogs/comunicate-de-presa/domeniile-ostrov-vinde-vinurile-din-dobrogea-in-lidl-kaufland-metro-cora-sau-auchan</t>
  </si>
  <si>
    <t xml:space="preserve">The bitter-sweet Pelin tradition brought back to Romanian attention as a branded product</t>
  </si>
  <si>
    <t xml:space="preserve">Reviving a folk drink gives a modern winery a heritage story it did not have to invent.</t>
  </si>
  <si>
    <t xml:space="preserve">https://www.domeniileostrov.ro/blogs/blog/domeniile-ostrov-readuce-in-atentia-romanilor-vinul-pelin</t>
  </si>
  <si>
    <t xml:space="preserve">Apr. 2025</t>
  </si>
  <si>
    <t xml:space="preserve">Online wine growth communication</t>
  </si>
  <si>
    <t xml:space="preserve">E-commerce</t>
  </si>
  <si>
    <t xml:space="preserve">Romanians buying more wine online in 2025, with the winery reporting significant growth of its own</t>
  </si>
  <si>
    <t xml:space="preserve">Uses a category trend as the peg for its own e-commerce numbers — cheap credibility for a channel story.</t>
  </si>
  <si>
    <t xml:space="preserve">https://www.domeniileostrov.ro/blogs/blog/romanii-cumpara-mai-mult-vin-online-in-2025</t>
  </si>
  <si>
    <t xml:space="preserve">„Roata Vinului” consumer promotion</t>
  </si>
  <si>
    <t xml:space="preserve">Prize-wheel mechanic running 1 Feb – 31 May 2025 under a published campaign regulation</t>
  </si>
  <si>
    <t xml:space="preserve">A long, four-month promotional window rather than a burst — the mechanic is built to run alongside the trade year rather than to spike it.</t>
  </si>
  <si>
    <t xml:space="preserve">https://cramagirboiu.ro/roata-vinului-2/regulament/</t>
  </si>
  <si>
    <t xml:space="preserve">Decanter World Wine Awards gold and Best Value</t>
  </si>
  <si>
    <t xml:space="preserve">Tectonic Fetească Neagră Barrique took gold plus the Best Value title in London, following 95 Decanter points for the 2022 vintage</t>
  </si>
  <si>
    <t xml:space="preserve">Best Value is the rarer prize: it argues price-to-quality, which is the claim a mid-priced native red actually needs.</t>
  </si>
  <si>
    <t xml:space="preserve">https://cramagirboiu.ro/blog/crama-girboiu-aur-decanter-2025/</t>
  </si>
  <si>
    <t xml:space="preserve">MUNDUS VINI Spring Tasting 2026</t>
  </si>
  <si>
    <t xml:space="preserve">21 medals including three Grand Golds, and a fourth consecutive Best Romanian Producer title</t>
  </si>
  <si>
    <t xml:space="preserve">Repeat-winning one competition builds a defensible claim no single medal can — the producer title, not the wine, becomes the asset.</t>
  </si>
  <si>
    <t xml:space="preserve">https://www.vrancea24.ro/crama-girboiu-scrie-istorie-la-mundus-vini-spring-tasting-2026-21-de-medalii-dintre-care-3-mari-medalii-de-aur/</t>
  </si>
  <si>
    <t xml:space="preserve">WineCon Fine Wine Exhibition, Chengdu</t>
  </si>
  <si>
    <t xml:space="preserve">Represented Romania at the Shangri-La Chengdu fair as a stated internationalisation step</t>
  </si>
  <si>
    <t xml:space="preserve">Picks a single distant market to work properly rather than spreading trade spend across many European fairs.</t>
  </si>
  <si>
    <t xml:space="preserve">https://www.monitoruldevrancea.ro/2026/03/24/foto-crama-girboiu-reprezinta-romania-la-winecon-fine-wine-exhibition-chengdu-2026/</t>
  </si>
  <si>
    <t xml:space="preserve">Six medals, level with Crama Ceptura and behind only Casa de Vinuri Cotnari and Murfatlar among Romanian producers</t>
  </si>
  <si>
    <t xml:space="preserve">Keeps the annual comparison point live in the same competition that produced the 2025 Best Value headline.</t>
  </si>
  <si>
    <t xml:space="preserve">Named-tier portfolio ladder</t>
  </si>
  <si>
    <t xml:space="preserve">Ambra, Cuartz, Livia, Bacanta, Tectonic, Epicentrum and Varancha cover entry to premium under one winery name</t>
  </si>
  <si>
    <t xml:space="preserve">Distinct range names let the awards story attach to the top tiers without repricing the volume wines.</t>
  </si>
  <si>
    <t xml:space="preserve">https://cramagirboiu.ro/vinurile-crama-girboiu/</t>
  </si>
  <si>
    <t xml:space="preserve">May 2021</t>
  </si>
  <si>
    <t xml:space="preserve">Mundus Vini 2021 top distinctions</t>
  </si>
  <si>
    <t xml:space="preserve">The highest distinctions at Mundus Vini, the start of the run that becomes four consecutive Best Romanian Producer titles</t>
  </si>
  <si>
    <t xml:space="preserve">One competition is chosen and worked every year; the compounding title is worth more than scattered medals.</t>
  </si>
  <si>
    <t xml:space="preserve">https://cramagirboiu.ro/blog/cele-mai-inalte-distinctii-pentru-crama-girboiu-la-mundus-vini-2021/</t>
  </si>
  <si>
    <t xml:space="preserve">Oct. 2021</t>
  </si>
  <si>
    <t xml:space="preserve">„Pachet Vinuri Medaliate” gift packs</t>
  </si>
  <si>
    <t xml:space="preserve">Medal-winning wines bundled as a gift pack for the season, alongside Berliner Wein Trophy communication</t>
  </si>
  <si>
    <t xml:space="preserve">Converts the awards story straight into a sellable product rather than leaving it as reputation.</t>
  </si>
  <si>
    <t xml:space="preserve">https://cramagirboiu.ro/blog/pachet-vinuri-medaliate-cadoul-perfect/</t>
  </si>
  <si>
    <t xml:space="preserve">Feb. 2024</t>
  </si>
  <si>
    <t xml:space="preserve">Best Producer at Mundus Vini, two years running</t>
  </si>
  <si>
    <t xml:space="preserve">A second consecutive Best Romanian Producer title in Germany, later extended to four</t>
  </si>
  <si>
    <t xml:space="preserve">The producer title licenses a quality claim across the whole range, which no single-wine medal can do.</t>
  </si>
  <si>
    <t xml:space="preserve">https://cramagirboiu.ro/blog/crama-girboiu-best-producer-2-ani-la-rand-la-mundus-vini-germania/</t>
  </si>
  <si>
    <t xml:space="preserve">Jun. 2025</t>
  </si>
  <si>
    <t xml:space="preserve">Decanter 2025 gold and Best Value</t>
  </si>
  <si>
    <t xml:space="preserve">Tectonic Fetească Neagră Barrique took gold and the Best Value title in London</t>
  </si>
  <si>
    <t xml:space="preserve">Best Value argues price-to-quality, which is the claim a mid-priced native red actually needs.</t>
  </si>
  <si>
    <t xml:space="preserve">Bacanta Grand Gold at Concours Mondial de Bruxelles</t>
  </si>
  <si>
    <t xml:space="preserve">A Grand Gold described as a medal worth two decades of work</t>
  </si>
  <si>
    <t xml:space="preserve">A second flagship line given its own award story, so the reputation does not rest on Tectonic alone.</t>
  </si>
  <si>
    <t xml:space="preserve">https://cramagirboiu.ro/blog/bacanta-grand-gold-concours-mondial-bruxelles-2025/</t>
  </si>
  <si>
    <t xml:space="preserve">2021–2026</t>
  </si>
  <si>
    <t xml:space="preserve">Owned content programme, 207 posts</t>
  </si>
  <si>
    <t xml:space="preserve">A continuously published blog — food pairings, variety guides, serving advice, seasonal recipes and gift guides — running at roughly forty posts a year through 2026</t>
  </si>
  <si>
    <t xml:space="preserve">By far the largest owned-content operation of any winery here: the winery is buying search traffic rather than media.</t>
  </si>
  <si>
    <t xml:space="preserve">https://cramagirboiu.ro/blog/</t>
  </si>
  <si>
    <t xml:space="preserve">Feb.–May 2025</t>
  </si>
  <si>
    <t xml:space="preserve">„Roata Vinului”</t>
  </si>
  <si>
    <t xml:space="preserve">A prize-wheel mechanic run under a published regulation from 1 February to 31 May 2025</t>
  </si>
  <si>
    <t xml:space="preserve">A four-month window rather than a burst — built to run alongside the trade year instead of spiking it.</t>
  </si>
  <si>
    <t xml:space="preserve">Christmas and New Year wine guide</t>
  </si>
  <si>
    <t xml:space="preserve">Seasonal content</t>
  </si>
  <si>
    <t xml:space="preserve">A gift and selection guide published for the 2025 festive season</t>
  </si>
  <si>
    <t xml:space="preserve">The content programme is pointed at the one moment when wine is bought as a present.</t>
  </si>
  <si>
    <t xml:space="preserve">https://cramagirboiu.ro/blog/ghidul-vinurilor-pentru-craciun-si-revelion-2025/</t>
  </si>
  <si>
    <t xml:space="preserve">Sept. 2026</t>
  </si>
  <si>
    <t xml:space="preserve">Festivalul Viei și Vinului, Vânju Mare (35th edition)</t>
  </si>
  <si>
    <t xml:space="preserve">Town wine-and-vine festival on 17–18 September 2026 at the „Nichita Stănescu” cultural centre, built around a folk-music interpretation contest</t>
  </si>
  <si>
    <t xml:space="preserve">The brand borrows a civic festival older than itself, which buys local legitimacy no owned event could.</t>
  </si>
  <si>
    <t xml:space="preserve">https://www.roevent.org/2026/festivalul-viei-si-vinului-2026-concurs-traditie-talent-si-emotia-autentica-a-folclorului-la-vanju-mare/</t>
  </si>
  <si>
    <t xml:space="preserve">Split producer and distributor identity</t>
  </si>
  <si>
    <t xml:space="preserve">Route to market</t>
  </si>
  <si>
    <t xml:space="preserve">Domeniile Vînju Mare acts as sole distributor for the wines produced by Vie Vin Vânju Mare</t>
  </si>
  <si>
    <t xml:space="preserve">Separating the consumer-facing name from the production company lets the brand be marketed without the industrial history attached.</t>
  </si>
  <si>
    <t xml:space="preserve">https://domeniilevinjumare.ro/domeniile-vinju-mare/</t>
  </si>
  <si>
    <t xml:space="preserve">VINVEST and Vinul.ro excellence awards</t>
  </si>
  <si>
    <t xml:space="preserve">Golds at the VINVEST national competition in Timișoara and Vinul.ro excellence awards for the Emissarius range</t>
  </si>
  <si>
    <t xml:space="preserve">Domestic competitions are worked rather than international ones, which matches a portfolio sold largely at home.</t>
  </si>
  <si>
    <t xml:space="preserve">https://www.crameromania.ro/crame/crama-vinju-mare-73.html</t>
  </si>
  <si>
    <t xml:space="preserve">Princely brand naming — Prințul Vlad, Vinul Principelui</t>
  </si>
  <si>
    <t xml:space="preserve">Flagship ranges named for a prince, alongside Lacrimă de Soare and the premium Emissarius</t>
  </si>
  <si>
    <t xml:space="preserve">Historical-authority naming substitutes for an estate story in a region whose modern reputation is still being built.</t>
  </si>
  <si>
    <t xml:space="preserve">Plaiurile Drâncei red-wine terroir claim</t>
  </si>
  <si>
    <t xml:space="preserve">The area is positioned as the heart of Romanian red-wine country; before 1989 its reds were used to colour export blends</t>
  </si>
  <si>
    <t xml:space="preserve">Turns an unglamorous industrial past — bulk colouring wine — into evidence of concentration and ripeness.</t>
  </si>
  <si>
    <t xml:space="preserve">https://vvm.ro/</t>
  </si>
  <si>
    <t xml:space="preserve">2018</t>
  </si>
  <si>
    <t xml:space="preserve">Decanter gold for Bon Viveur 2014</t>
  </si>
  <si>
    <t xml:space="preserve">The only Romanian red to take gold at that Decanter edition, with silvers for Serafim Fetească Neagră 2015 and Tămâioasă Românească 2016</t>
  </si>
  <si>
    <t xml:space="preserve">One outsized medal for a small estate becomes the permanent headline; the awards page exists to keep it working.</t>
  </si>
  <si>
    <t xml:space="preserve">https://vinul.ro/aur-decanter-licorna-winehouse-in-fruntea-plutonului-dealu-mare.html</t>
  </si>
  <si>
    <t xml:space="preserve">Awards page as a standing proof point</t>
  </si>
  <si>
    <t xml:space="preserve">A dedicated Premii section collects international results in one place on the winery's own site</t>
  </si>
  <si>
    <t xml:space="preserve">Small producers cannot buy reach, so the site is built to make the medals do the persuading.</t>
  </si>
  <si>
    <t xml:space="preserve">https://www.licornawinehouse.ro/premii/</t>
  </si>
  <si>
    <t xml:space="preserve">Wine tourism at the restored Nicolau manor</t>
  </si>
  <si>
    <t xml:space="preserve">Tasting days at the 1907–1909 stone manor built by Italian craftsmen, part of the Gura Vadului complex</t>
  </si>
  <si>
    <t xml:space="preserve">The building supplies the heritage the 2013 winery itself does not have.</t>
  </si>
  <si>
    <t xml:space="preserve">https://www.taradacilor.ro/2026/03/16/licorna-winehouse-intre-legenda-si-realitate-o-zi-de-degustare-de-vinuri-in-dealu-mare/</t>
  </si>
  <si>
    <t xml:space="preserve">Named ranges — Serafim, Bon Viveur, Anno, Anno 5, Stih</t>
  </si>
  <si>
    <t xml:space="preserve">Five lines spanning event wines through to the premium reds and a dessert range</t>
  </si>
  <si>
    <t xml:space="preserve">Range names carry the tiering, so the estate name stays single and the medal halo travels across it.</t>
  </si>
  <si>
    <t xml:space="preserve">https://www.licornawinehouse.ro/shop2/</t>
  </si>
  <si>
    <t xml:space="preserve">Asociația Dealu Mare membership</t>
  </si>
  <si>
    <t xml:space="preserve">Trade / region</t>
  </si>
  <si>
    <t xml:space="preserve">Listed member of the Dealu Mare producers' association, promoted collectively with neighbouring estates</t>
  </si>
  <si>
    <t xml:space="preserve">Collective regional marketing is the affordable route to visibility for a producer this size.</t>
  </si>
  <si>
    <t xml:space="preserve">https://dealu-mare.ro/licorna/?lang=en</t>
  </si>
  <si>
    <t xml:space="preserve">2009</t>
  </si>
  <si>
    <t xml:space="preserve">Creation of the Gitana trademark</t>
  </si>
  <si>
    <t xml:space="preserve">A symbolic brand built to represent the winery's wines, marking a new stage after the 1999 refounding</t>
  </si>
  <si>
    <t xml:space="preserve">A deliberate move from producing wine to owning a name — the step that made export listings possible.</t>
  </si>
  <si>
    <t xml:space="preserve">https://www.gitanawinery1953.com/our-history/</t>
  </si>
  <si>
    <t xml:space="preserve">Romania-first commercial model</t>
  </si>
  <si>
    <t xml:space="preserve">About 60% of production is sold in Romania, across supermarket retail and HoReCa in parallel</t>
  </si>
  <si>
    <t xml:space="preserve">A Moldovan producer treating Romania as home market rather than export changes what the marketing has to do: it competes on shelf, not on novelty.</t>
  </si>
  <si>
    <t xml:space="preserve">https://www.orange.ro/info/news/zf/article/582674</t>
  </si>
  <si>
    <t xml:space="preserve">Recent</t>
  </si>
  <si>
    <t xml:space="preserve">Lupi and La petite Sophie launches</t>
  </si>
  <si>
    <t xml:space="preserve">A new red and a new white positioned as future flagships for the house</t>
  </si>
  <si>
    <t xml:space="preserve">New flagships are launched under the existing trademark rather than as separate brands, keeping the equity in one name.</t>
  </si>
  <si>
    <t xml:space="preserve">https://wineofmoldova.com/en/gitana-winery/</t>
  </si>
  <si>
    <t xml:space="preserve">Wine of Moldova country programme</t>
  </si>
  <si>
    <t xml:space="preserve">Listed producer within Moldova's national wine brand programme</t>
  </si>
  <si>
    <t xml:space="preserve">Borrows a state-funded country brand for credibility in markets where the producer name means little.</t>
  </si>
  <si>
    <t xml:space="preserve">Family named publicly as the brand</t>
  </si>
  <si>
    <t xml:space="preserve">Brand storytelling</t>
  </si>
  <si>
    <t xml:space="preserve">Owner, co-owner and both daughters are named with their roles on the winery's own site</t>
  </si>
  <si>
    <t xml:space="preserve">Publishing the family is the authenticity claim; it is also what makes the commercial roster traceable at all.</t>
  </si>
  <si>
    <t xml:space="preserve">Best national producer of the year</t>
  </si>
  <si>
    <t xml:space="preserve">Viti-Pomicola Sâmburești took the national producer title with two gold-medal wines</t>
  </si>
  <si>
    <t xml:space="preserve">A producer-level title does for a portfolio what a single medal cannot — it licenses the claim across every label.</t>
  </si>
  <si>
    <t xml:space="preserve">https://samburesti.com/domeniile-samburesti-cel-mai-bun-producator-national-al-anului-2024/</t>
  </si>
  <si>
    <t xml:space="preserve">Carpathia and ALAI line launches</t>
  </si>
  <si>
    <t xml:space="preserve">Two new quality lines added to a portfolio that already ran Château Valvis, Domeniile Sâmburești and Sâmburel de Olt</t>
  </si>
  <si>
    <t xml:space="preserve">Extends upward and sideways at once, which is how a three-tier portfolio absorbs a producer-of-the-year claim.</t>
  </si>
  <si>
    <t xml:space="preserve">https://samburesti.com/en/colectii/carpathia/</t>
  </si>
  <si>
    <t xml:space="preserve">Carpathia at Miss România</t>
  </si>
  <si>
    <t xml:space="preserve">The premium Carpathia line presented in a beauty-and-style setting built around Romanian elegance</t>
  </si>
  <si>
    <t xml:space="preserve">Places a premium wine in a non-wine prestige context, reaching an audience trade fairs do not.</t>
  </si>
  <si>
    <t xml:space="preserve">Château Valvis founder-brand halo</t>
  </si>
  <si>
    <t xml:space="preserve">Brand architecture</t>
  </si>
  <si>
    <t xml:space="preserve">The flagship carries the owner's own name, already known nationally from Dorna, LaDorna and Aqua Carpatica</t>
  </si>
  <si>
    <t xml:space="preserve">Borrows FMCG brand equity built in water and dairy — a shortcut no purely viticultural producer has.</t>
  </si>
  <si>
    <t xml:space="preserve">https://samburesti.com/en/colectii/chateau-valvis/</t>
  </si>
  <si>
    <t xml:space="preserve">Vinalies Internationales 2026</t>
  </si>
  <si>
    <t xml:space="preserve">Named among the Romanian producers medalled at the edition, in which Romania took 27 medals in total</t>
  </si>
  <si>
    <t xml:space="preserve">Keeps an international result on the board in the year after the national producer title.</t>
  </si>
  <si>
    <t xml:space="preserve">AER / AER LIBER concert series</t>
  </si>
  <si>
    <t xml:space="preserve">Ticketed mini-festival evenings at the winery — 250 lei a head — with Smiley, Loredana, Vama and The Motans on the bill</t>
  </si>
  <si>
    <t xml:space="preserve">The event is a product with its own price and phone line, not a promotion: the winery sells attendance as well as wine.</t>
  </si>
  <si>
    <t xml:space="preserve">https://www.cramarasova.ro/aer-liber-by-crama-rasova.html</t>
  </si>
  <si>
    <t xml:space="preserve">May 2025</t>
  </si>
  <si>
    <t xml:space="preserve">„Acasă la vin” with Unvinpezi.ro</t>
  </si>
  <si>
    <t xml:space="preserve">Retail partnership</t>
  </si>
  <si>
    <t xml:space="preserve">Order-and-win mechanic running 7–25 May 2025; ten winners taken to a guided tasting with blind-tasting world champion Valentin Ceafalău</t>
  </si>
  <si>
    <t xml:space="preserve">Buys a specialist retailer's audience and an expert's authority in one move, with the prize itself a winery visit.</t>
  </si>
  <si>
    <t xml:space="preserve">https://playtech.ro/2025/acasa-la-vin-by-unvinpezi-ro-ajunge-in-dobrogea-la-crama-rasova/</t>
  </si>
  <si>
    <t xml:space="preserve">Răzvan Macici as the quality signature</t>
  </si>
  <si>
    <t xml:space="preserve">Winemaker-led reputation</t>
  </si>
  <si>
    <t xml:space="preserve">New releases are communicated as wines signed by Răzvan Macici, whose career includes senior winemaking in South Africa</t>
  </si>
  <si>
    <t xml:space="preserve">A named winemaker carries reputation across a young estate faster than the estate name can earn it.</t>
  </si>
  <si>
    <t xml:space="preserve">https://winesofromania.com/en/wineries/the-rasova-winery/</t>
  </si>
  <si>
    <t xml:space="preserve">Creația and Recreația brand split</t>
  </si>
  <si>
    <t xml:space="preserve">A serious range beside a playful one — La Plage, Craft, Riviera Sur Mer, Nud, Tortuga, Imperfect, Aripi and Dulce Nebunie</t>
  </si>
  <si>
    <t xml:space="preserve">Two registers under one roof let the concert audience and the fine-wine audience each be sold something in their own language.</t>
  </si>
  <si>
    <t xml:space="preserve">https://www.cramarasova.ro/creatia.html</t>
  </si>
  <si>
    <t xml:space="preserve">Own shop, tours and the Rasova&amp;Friends club</t>
  </si>
  <si>
    <t xml:space="preserve">Wine tourism / DTC</t>
  </si>
  <si>
    <t xml:space="preserve">Direct e-commerce with free delivery over 299 lei, alongside tastings, tours, gift packs and a partner club</t>
  </si>
  <si>
    <t xml:space="preserve">Direct sales and events reinforce each other: the visit sells the wine and the wine sells the next visit.</t>
  </si>
  <si>
    <t xml:space="preserve">„Tandem” with Castel Mimi</t>
  </si>
  <si>
    <t xml:space="preserve">Partnership / co-branding</t>
  </si>
  <si>
    <t xml:space="preserve">Collaboration wines between Liliac in Romania and Castel Mimi in Moldova, founded on the two general managers' friendship</t>
  </si>
  <si>
    <t xml:space="preserve">A cross-border co-brand turns a personal relationship into a product, and gives each winery access to the other's market story.</t>
  </si>
  <si>
    <t xml:space="preserve">https://business-review.eu/profiles1/interviews-interviews/tandem-interview-with-miron-radic-ceo-liliac-and-adrian-trofim-gm-castel-mimi-253838</t>
  </si>
  <si>
    <t xml:space="preserve">2021–2025</t>
  </si>
  <si>
    <t xml:space="preserve">3.4 million euro expansion and tourism lodge</t>
  </si>
  <si>
    <t xml:space="preserve">Wine tourism / investment</t>
  </si>
  <si>
    <t xml:space="preserve">Winery modernisation plus accommodation services at the Batoș lodge overlooking the hills</t>
  </si>
  <si>
    <t xml:space="preserve">Capacity and hospitality are built together, so the investment story doubles as a destination story.</t>
  </si>
  <si>
    <t xml:space="preserve">https://www.economica.net/miron-radic-ceo-crama-liliac-efectele-schimbarilor-climatice-ne-au-ajutat-sa-producem-vin-rosu-pe-care-nu-l-puteam-face-inainte-servicii-turistice-crama_712872.html</t>
  </si>
  <si>
    <t xml:space="preserve">„The guardian of Transylvanian wine”</t>
  </si>
  <si>
    <t xml:space="preserve">The bat emblem and an explicit claim on Transylvania as the brand's territory</t>
  </si>
  <si>
    <t xml:space="preserve">Owning a region rather than a village gives a 2010 winery a story with the scale of a much older one.</t>
  </si>
  <si>
    <t xml:space="preserve">CEO-led business-press presence</t>
  </si>
  <si>
    <t xml:space="preserve">PR / thought leadership</t>
  </si>
  <si>
    <t xml:space="preserve">Repeated interviews positioning Liliac within a growing Romanian boutique-winery segment and discussing climate effects on red-wine production</t>
  </si>
  <si>
    <t xml:space="preserve">The general manager is used as the brand's spokesperson, which is cheap reach for a winery of this size.</t>
  </si>
  <si>
    <t xml:space="preserve">https://business-review.eu/news/interview-miron-radic-liliac-winery-more-and-more-boutique-wineries-like-us-are-coming-to-the-market-158448</t>
  </si>
  <si>
    <t xml:space="preserve">Tiered labels — Liliac, Private Selection, Crepuscul, TITAN</t>
  </si>
  <si>
    <t xml:space="preserve">Four named tiers across roughly 52 hectares in Batoș and Lechința</t>
  </si>
  <si>
    <t xml:space="preserve">A narrow estate is made to cover several price points without diluting the single Transylvanian claim.</t>
  </si>
  <si>
    <t xml:space="preserve">https://premiumwinesofromania.com/liliac/</t>
  </si>
  <si>
    <t xml:space="preserve">young.LILIAC contemporary-artist labels</t>
  </si>
  <si>
    <t xml:space="preserve">Art collaboration</t>
  </si>
  <si>
    <t xml:space="preserve">A wine reworked every year under the inspiration of contemporary artists, described as the only Romanian wine that transforms annually</t>
  </si>
  <si>
    <t xml:space="preserve">An annual reason to relaunch the same wine, and a collectible logic that suits a boutique estate.</t>
  </si>
  <si>
    <t xml:space="preserve">https://www.iqads.ro/relevant/liliac</t>
  </si>
  <si>
    <t xml:space="preserve">2015–2024</t>
  </si>
  <si>
    <t xml:space="preserve">Premiile Crama Oprișor pentru Desen Contemporan</t>
  </si>
  <si>
    <t xml:space="preserve">Arts patronage</t>
  </si>
  <si>
    <t xml:space="preserve">A contemporary-drawing prize initiated by Ciprian Paleologu in 2015, run with UNArte Bucharest (2016–17), UAD Cluj-Napoca (2021–22) and the National Museum of Contemporary Art; 6,000 euro prize fund for artists up to 35</t>
  </si>
  <si>
    <t xml:space="preserve">Patronage rather than sponsorship: the winery runs the institution's competition, which buys a cultural standing advertising cannot.</t>
  </si>
  <si>
    <t xml:space="preserve">https://crama-oprisor.ro/premiile/despre-premii/</t>
  </si>
  <si>
    <t xml:space="preserve">2008</t>
  </si>
  <si>
    <t xml:space="preserve">Adoption of the Crama Oprișor name</t>
  </si>
  <si>
    <t xml:space="preserve">Brand repositioning</t>
  </si>
  <si>
    <t xml:space="preserve">German-owned Carl Reh Winery began presenting itself on the Romanian market under a Romanian place name</t>
  </si>
  <si>
    <t xml:space="preserve">A foreign owner buying local legitimacy by putting the village, not the parent company, on the label.</t>
  </si>
  <si>
    <t xml:space="preserve">https://www.crama-oprisor.com/about_us_history_past.html</t>
  </si>
  <si>
    <t xml:space="preserve">La Cetate as the flagship</t>
  </si>
  <si>
    <t xml:space="preserve">The upper-segment label built around winemaker Veronica Gheorghiu's work</t>
  </si>
  <si>
    <t xml:space="preserve">A single named flagship gives an otherwise broad German-owned portfolio a critical anchor.</t>
  </si>
  <si>
    <t xml:space="preserve">https://www.crama-oprisor.com/wines_series.html?concept=Carl+Reh+Winery&amp;gama=LA+CETATE</t>
  </si>
  <si>
    <t xml:space="preserve">Romanian folklore brand naming</t>
  </si>
  <si>
    <t xml:space="preserve">Măiastru, Caloian, Rusalcă Albă, Cupola Sanctis and Smerenie alongside Val Duna and Dragaica Roșie</t>
  </si>
  <si>
    <t xml:space="preserve">Every range name is drawn from Romanian myth or ritual — the same localisation strategy as the 2008 rename, applied to the shelf.</t>
  </si>
  <si>
    <t xml:space="preserve">https://www.crameromania.ro/crame/crama-oprisor-38.html</t>
  </si>
  <si>
    <t xml:space="preserve">Named regional sales team published with contacts</t>
  </si>
  <si>
    <t xml:space="preserve">Trade-facing transparency</t>
  </si>
  <si>
    <t xml:space="preserve">A national sales manager and seven regional managers, including a dedicated HoReCa role, listed with direct e-mail addresses</t>
  </si>
  <si>
    <t xml:space="preserve">Publishing the commercial team is itself a trade proposition: buyers can reach the right person without going through a switchboard.</t>
  </si>
  <si>
    <t xml:space="preserve">2003 onward</t>
  </si>
  <si>
    <t xml:space="preserve">Winemaker-name masterbrand</t>
  </si>
  <si>
    <t xml:space="preserve">The winery trades publicly as Aurelia Vișinescu — Domeniile Săhăteni, putting the founding oenologist's name above the estate's</t>
  </si>
  <si>
    <t xml:space="preserve">Rare in Romanian wine: the person is the brand, which makes every critical mention of the winemaker also a brand mention.</t>
  </si>
  <si>
    <t xml:space="preserve">Channel-segmented brand architecture</t>
  </si>
  <si>
    <t xml:space="preserve">Nomad as the general line, Artisan, Karakter and Anima built for HoReCa, and Promessa, Etika, Distinct and Genesa for retail</t>
  </si>
  <si>
    <t xml:space="preserve">The portfolio is split by where it sells rather than by grape or price, which keeps restaurant and supermarket listings from competing.</t>
  </si>
  <si>
    <t xml:space="preserve">https://www.crameromania.ro/crame/sahateni-aurelia-visinescu-crama-10.html</t>
  </si>
  <si>
    <t xml:space="preserve">Small-batch, story-named wines</t>
  </si>
  <si>
    <t xml:space="preserve">Product storytelling</t>
  </si>
  <si>
    <t xml:space="preserve">Lots of 2,500 to 20,000 bottles, monovarietal and blends, with names chosen to carry a story</t>
  </si>
  <si>
    <t xml:space="preserve">Scarcity plus narrative is the argument a producer makes when it cannot compete on volume or price.</t>
  </si>
  <si>
    <t xml:space="preserve">https://winesofromania.com/en/aurelia-visinescu-sahateni-domains/</t>
  </si>
  <si>
    <t xml:space="preserve">Listed member of the Dealu Mare producers' association and promoted collectively</t>
  </si>
  <si>
    <t xml:space="preserve">Regional collective marketing at the appellation level, alongside the personal brand.</t>
  </si>
  <si>
    <t xml:space="preserve">https://dealu-mare.ro/aurelia-visinescu/?lang=en</t>
  </si>
  <si>
    <t xml:space="preserve">Winery as a gastronomic destination</t>
  </si>
  <si>
    <t xml:space="preserve">The Săhăteni cellar is presented and listed as a visitable place with food-and-wine experiences</t>
  </si>
  <si>
    <t xml:space="preserve">Visits convert the personal brand into something people can meet, which is the point of naming a winery after a person.</t>
  </si>
  <si>
    <t xml:space="preserve">https://go-mio.ro/crama/domeniile-sahateni---aurelia-visinescu</t>
  </si>
  <si>
    <t xml:space="preserve">2012 onward</t>
  </si>
  <si>
    <t xml:space="preserve">The „1000 de chipuri” naming concept</t>
  </si>
  <si>
    <t xml:space="preserve">Each wine carries the name and image of the person the winery bought that parcel of land from, as a mark of respect</t>
  </si>
  <si>
    <t xml:space="preserve">The brand name is the mechanic: every label is a person, so the portfolio cannot be extended without acquiring another story.</t>
  </si>
  <si>
    <t xml:space="preserve">https://www.crameromania.ro/crame/crama-1000-de-chipuri-215.html</t>
  </si>
  <si>
    <t xml:space="preserve">„Vinul tău din via ta”</t>
  </si>
  <si>
    <t xml:space="preserve">Consumer / DTC programme</t>
  </si>
  <si>
    <t xml:space="preserve">A programme letting customers take on a plot and receive the wine made from it, framed as restoring the link between people and the land</t>
  </si>
  <si>
    <t xml:space="preserve">Turns the founding story into a service, and creates a customer relationship that outlasts a single purchase.</t>
  </si>
  <si>
    <t xml:space="preserve">https://hotnews.ro/interviu-drink-insider-cu-stefan-ionescu-crama-1000-de-chipuri-proiectul-vinul-tau-din-via-ta-ncearca-sa-refaca-legatura-cu-pamntul-adica-le-35760</t>
  </si>
  <si>
    <t xml:space="preserve">HoReCa-only distribution</t>
  </si>
  <si>
    <t xml:space="preserve">All 120,000 bottles go to restaurants and hotels; the wines are not sold through grocery retail</t>
  </si>
  <si>
    <t xml:space="preserve">Deliberate scarcity on the shelf: the wine is only met where someone can explain it.</t>
  </si>
  <si>
    <t xml:space="preserve">https://www.zf.ro/business-construct/zf-live-stefan-ionescu-proprietarul-cramei-1000-de-chipuri-investim-21764157</t>
  </si>
  <si>
    <t xml:space="preserve">2 million euro new winery</t>
  </si>
  <si>
    <t xml:space="preserve">A new facility intended to take output to about 200,000 bottles a year</t>
  </si>
  <si>
    <t xml:space="preserve">Growth is planned without leaving the HoReCa channel, which is the harder of the two ways to scale.</t>
  </si>
  <si>
    <t xml:space="preserve">Three collections — Sforile/Fințești, Via Mirabilis, 1000 de chipuri</t>
  </si>
  <si>
    <t xml:space="preserve">Twenty labels grouped into three collections across 64 hectares</t>
  </si>
  <si>
    <t xml:space="preserve">Collections give a single-estate producer enough structure to hold a restaurant list on its own.</t>
  </si>
  <si>
    <t xml:space="preserve">The ballerina emblem</t>
  </si>
  <si>
    <t xml:space="preserve">Brand symbol</t>
  </si>
  <si>
    <t xml:space="preserve">The dancer on the label commemorates a family love story with an Italian ballerina and is presented as standing for elegance and passion</t>
  </si>
  <si>
    <t xml:space="preserve">A single owned symbol does the work of a range architecture — it is recognisable on shelf without reading the name.</t>
  </si>
  <si>
    <t xml:space="preserve">https://www.crameromania.ro/crame/negrini-casa-vinuri-2.html</t>
  </si>
  <si>
    <t xml:space="preserve">1990 onward</t>
  </si>
  <si>
    <t xml:space="preserve">General Teodrini estate provenance</t>
  </si>
  <si>
    <t xml:space="preserve">Heritage storytelling</t>
  </si>
  <si>
    <t xml:space="preserve">The winery is built on an interwar general's Drăgășani property, bought in 1990 and replanted</t>
  </si>
  <si>
    <t xml:space="preserve">Borrowed history: the estate's story predates the company by a century, which a 1990 founding otherwise could not claim.</t>
  </si>
  <si>
    <t xml:space="preserve">Negrini Premium retail line</t>
  </si>
  <si>
    <t xml:space="preserve">Sauvignon Blanc, Fetească Regală, Rosé, Cabernet Sauvignon, Merlot and Negru de Drăgășani listed by national grocers</t>
  </si>
  <si>
    <t xml:space="preserve">National grocery listings are the whole distribution story here, so the range is built to fill a shelf set rather than a wine list.</t>
  </si>
  <si>
    <t xml:space="preserve">https://carrefour.ro/produse/vin-alb-sec-negrini-premium-sauvignon-blanc-0-75l-19-10506412</t>
  </si>
  <si>
    <t xml:space="preserve">Hex range</t>
  </si>
  <si>
    <t xml:space="preserve">A second, differently styled label running alongside Premium</t>
  </si>
  <si>
    <t xml:space="preserve">A second name lets the house reach a different shelf position without discounting the first.</t>
  </si>
  <si>
    <t xml:space="preserve">https://realfoods.ro/vin-rose/7620-negrini-hex-rose.html</t>
  </si>
  <si>
    <t xml:space="preserve">Negru de Drăgășani as the local signature</t>
  </si>
  <si>
    <t xml:space="preserve">The indigenous Drăgășani red is carried as the range's distinguishing variety</t>
  </si>
  <si>
    <t xml:space="preserve">A variety few competitors list is the cheapest available point of difference in a national grocery set.</t>
  </si>
  <si>
    <t xml:space="preserve">„La Petrovaselo în vie” running event</t>
  </si>
  <si>
    <t xml:space="preserve">A vineyard running event with several race distances and tastings at the winery, held again in 2026</t>
  </si>
  <si>
    <t xml:space="preserve">Sport brings a non-wine audience onto the estate, which is a cheaper acquisition route than a tasting programme.</t>
  </si>
  <si>
    <t xml:space="preserve">https://calendar.sportic.ro/events/view?hash=279825f0d55ad8df598cdbdf5ed10724fbe6570e</t>
  </si>
  <si>
    <t xml:space="preserve">Certified organic viticulture</t>
  </si>
  <si>
    <t xml:space="preserve">Sustainability positioning</t>
  </si>
  <si>
    <t xml:space="preserve">Certified organic vineyard with two manual selections of every bunch before vinification</t>
  </si>
  <si>
    <t xml:space="preserve">Certification is a claim that survives without advertising, which suits a producer with no consumer media presence.</t>
  </si>
  <si>
    <t xml:space="preserve">https://www.blog.desprevin.ro/crama-petro-vaselo-pe-scurt-despre-experimentari-sustenabilitate-si-viticultura-biologica-in-banat/</t>
  </si>
  <si>
    <t xml:space="preserve">Bendis traditional-method sparkling family</t>
  </si>
  <si>
    <t xml:space="preserve">Product / portfolio</t>
  </si>
  <si>
    <t xml:space="preserve">Bendis Rose, Bendis Zenith and Bendis Nadir form a dedicated sparkling range under their own name</t>
  </si>
  <si>
    <t xml:space="preserve">A separately named sparkling family lets the estate compete in a category buyers shop apart from still wine.</t>
  </si>
  <si>
    <t xml:space="preserve">https://revino.ro/petro-vaselo-bendis-degustare-vin-banat-vizita-crama-a270.html</t>
  </si>
  <si>
    <t xml:space="preserve">2002 onward</t>
  </si>
  <si>
    <t xml:space="preserve">Italian founding story on a 2,500-year-old terroir</t>
  </si>
  <si>
    <t xml:space="preserve">An Italian family's interpretation of an ancient Banat site, in the DOC Recaș appellation</t>
  </si>
  <si>
    <t xml:space="preserve">Foreign winemaking credentials plus deep local history is the standard argument for a region without an established fine-wine reputation.</t>
  </si>
  <si>
    <t xml:space="preserve">Private and corporate events at the winery</t>
  </si>
  <si>
    <t xml:space="preserve">Tastings and organised events for personal and business groups</t>
  </si>
  <si>
    <t xml:space="preserve">Hospitality revenue and brand exposure from the same fixed asset.</t>
  </si>
  <si>
    <t xml:space="preserve">https://revino.ro/turism-viticol/crame/crama-pertro-vaselo-recas-degustari-vin-turism-viticol-enoturism-romania.html</t>
  </si>
  <si>
    <t xml:space="preserve">2017–2024</t>
  </si>
  <si>
    <t xml:space="preserve">Champagne &amp; Sparkling Wine World Championships</t>
  </si>
  <si>
    <t xml:space="preserve">Medals at every edition since the 2017 launch: two silvers in 2017, gold for Carassia Blanc de Blancs and a Best in Class Future Release in 2018, and four golds in 2024</t>
  </si>
  <si>
    <t xml:space="preserve">A specialist competition rewards a specialist producer far more than a general one would — the whole reputation is built in one arena.</t>
  </si>
  <si>
    <t xml:space="preserve">https://start-up.ro/carastelec-crama-din-romania-care-castiga-campionatele-mondiale-de-spumante/</t>
  </si>
  <si>
    <t xml:space="preserve">2011 onward</t>
  </si>
  <si>
    <t xml:space="preserve">Romania's first dedicated sparkling-wine project</t>
  </si>
  <si>
    <t xml:space="preserve">Category positioning</t>
  </si>
  <si>
    <t xml:space="preserve">The winery was designed from the outset around sparkling and pétillant wine rather than still wine, with 22.4 hectares planted to varieties chosen for it</t>
  </si>
  <si>
    <t xml:space="preserve">Category ownership instead of range breadth: being first at one thing is the claim, and it dates from before the first bottle.</t>
  </si>
  <si>
    <t xml:space="preserve">Three-brand ladder — Carassia, Friza, Vinca</t>
  </si>
  <si>
    <t xml:space="preserve">Traditional-method sparkling, pétillant and still ranges at three distinct price positions, with two-thirds of the roughly 150,000 bottles sparkling</t>
  </si>
  <si>
    <t xml:space="preserve">The ladder lets the championship medals sit on Carassia while Friza takes the volume.</t>
  </si>
  <si>
    <t xml:space="preserve">https://www.crameromania.ro/crame/crama-vinca-salaj-carastelec-166.html</t>
  </si>
  <si>
    <t xml:space="preserve">Traditional-method production claim</t>
  </si>
  <si>
    <t xml:space="preserve">Product claim</t>
  </si>
  <si>
    <t xml:space="preserve">Fermentation and maturation in bottle, communicated as the quality argument for Carassia</t>
  </si>
  <si>
    <t xml:space="preserve">Method is the argument sparkling buyers already understand, so it needs no education spend.</t>
  </si>
  <si>
    <t xml:space="preserve">https://revino.ro/crama-carastelec-a-lansat-o-noua-gama-de-spumante-carassia-metoda-traditionala-a375.html</t>
  </si>
  <si>
    <t xml:space="preserve">Oct.–Dec. 2021</t>
  </si>
  <si>
    <t xml:space="preserve">Record medal haul and Chairman's Trophy</t>
  </si>
  <si>
    <t xml:space="preserve">A record number of medals in London, then Carassia Rosé Brut taking both the Chairman's Trophy and National Champion of Romania</t>
  </si>
  <si>
    <t xml:space="preserve">The competition result is published in Romanian, English and Hungarian — the audience is export buyers as much as locals.</t>
  </si>
  <si>
    <t xml:space="preserve">https://carastelecwinery.com/carassia-rose-brut-este-anul-acesta-campion-national-si-titular-al-chairmans-trophy/</t>
  </si>
  <si>
    <t xml:space="preserve">Nov. 2022</t>
  </si>
  <si>
    <t xml:space="preserve">Third consecutive National Champion title</t>
  </si>
  <si>
    <t xml:space="preserve">A third National Champion title for the Carassia sparkling range</t>
  </si>
  <si>
    <t xml:space="preserve">Consecutive titles turn a competition record into a category claim: the best sparkling in the country, every year.</t>
  </si>
  <si>
    <t xml:space="preserve">https://carastelecwinery.com/un-nou-titlu-de-campion-national-pentru-spumantele-carassia/</t>
  </si>
  <si>
    <t xml:space="preserve">Sept.–Nov. 2023</t>
  </si>
  <si>
    <t xml:space="preserve">Blanc de Blancs World Champion and triple magnum gold</t>
  </si>
  <si>
    <t xml:space="preserve">Collection #1 named the year's best Blanc de Blancs, alongside three golds for the Carassia magnums</t>
  </si>
  <si>
    <t xml:space="preserve">A world title in a defined style is the strongest result a specialist producer can get, and it names the wine rather than the winery.</t>
  </si>
  <si>
    <t xml:space="preserve">https://carastelecwinery.com/carassia-wins-the-blanc-de-blancs-world-champion-title/</t>
  </si>
  <si>
    <t xml:space="preserve">Sept. 2024</t>
  </si>
  <si>
    <t xml:space="preserve">„100% GOLD” — four of four</t>
  </si>
  <si>
    <t xml:space="preserve">Four gold medals from four entries at the Champagne &amp; Sparkling Wine World Championships</t>
  </si>
  <si>
    <t xml:space="preserve">A perfect strike rate is a better headline than a bigger medal count, and the campaign is built on that framing.</t>
  </si>
  <si>
    <t xml:space="preserve">https://carastelecwinery.com/100-gold-4-out-of-4-gold-medals-at-champagne-sparkling-wine-world-championships-2024/</t>
  </si>
  <si>
    <t xml:space="preserve">„Consistently among the finest”</t>
  </si>
  <si>
    <t xml:space="preserve">The 2025 communication shifts from individual results to the consistency of the record across editions</t>
  </si>
  <si>
    <t xml:space="preserve">After five years of medals the story stops being any one win and becomes the streak itself.</t>
  </si>
  <si>
    <t xml:space="preserve">https://carastelecwinery.com/carassia-consistently-among-the-finest-at-cswwc/</t>
  </si>
  <si>
    <t xml:space="preserve">2019 onward</t>
  </si>
  <si>
    <t xml:space="preserve">Romania-first market strategy</t>
  </si>
  <si>
    <t xml:space="preserve">Romania is the winery's principal market; revenue grew roughly six-fold from 2.8 million lei in 2019 to 17.3 million lei in 2025</t>
  </si>
  <si>
    <t xml:space="preserve">A Moldovan producer that treats Romania as home market rather than export has to win on shelf economics, not on curiosity.</t>
  </si>
  <si>
    <t xml:space="preserve">https://www.bursa.ro/domeniile-davidescu-a-inregistrat-o-crestere-de-peste-28-procente-a-vanzarilor-in-2025-47150957</t>
  </si>
  <si>
    <t xml:space="preserve">Retail expansion drove sales up more than 28%</t>
  </si>
  <si>
    <t xml:space="preserve">Growth in Romanian grocery listings is named as the engine behind a 17.3 million lei year</t>
  </si>
  <si>
    <t xml:space="preserve">The growth story is a distribution story, which is what a premium positioning claim has to be measured against.</t>
  </si>
  <si>
    <t xml:space="preserve">https://revistaprogresiv.ro/stiri/fmcg/extinderea-in-retail-a-adus-un-plus-de-peste-28-a-afacerilor-cramei-domeniile-davidescu-in-2025/</t>
  </si>
  <si>
    <t xml:space="preserve">Own online store, HoReCa push and a classic-method sparkling</t>
  </si>
  <si>
    <t xml:space="preserve">Product / channel launch</t>
  </si>
  <si>
    <t xml:space="preserve">Stated plans to sell direct, develop the on-trade and add a bottle-fermented sparkling wine, targeting over 20% growth</t>
  </si>
  <si>
    <t xml:space="preserve">Three moves that each reduce dependence on grocery shelf space after a year won on it.</t>
  </si>
  <si>
    <t xml:space="preserve">https://www.profit.ro/povesti-cu-profit/retail/domeniile-davidescu-cresc-si-pregatesc-noi-lansari-vinurile-vedeta-ale-semestrului-22191291</t>
  </si>
  <si>
    <t xml:space="preserve">„Promovare comună” advocacy</t>
  </si>
  <si>
    <t xml:space="preserve">Category leadership / PR</t>
  </si>
  <si>
    <t xml:space="preserve">The CEO publicly argues that Romanian and Moldovan producers are all small against regions with centuries of brand equity and should promote together</t>
  </si>
  <si>
    <t xml:space="preserve">Positioning the company as an industry voice earns coverage that product news alone would not.</t>
  </si>
  <si>
    <t xml:space="preserve">https://vinul.ro/ceo-andrian-davidescu-sustin-promovarea-comuna-suntem-cu-totii-mici-fata-de-regiunile-cu-sute-de-ani-de-brand-equity.html</t>
  </si>
  <si>
    <t xml:space="preserve">Three-generation family narrative</t>
  </si>
  <si>
    <t xml:space="preserve">Grandfather Ilie Davidescu, artisan winemaker and beekeeper, is the origin story carried through to the current generation</t>
  </si>
  <si>
    <t xml:space="preserve">Continuity is the premium claim for a company whose Romanian trading history is only a few years long.</t>
  </si>
  <si>
    <t xml:space="preserve">https://www.comunicatedepresa.ro/dwf/povestea-vinurilor-domeniile-davidescu-crama-care-a-crescut-odata-cu-familia1</t>
  </si>
  <si>
    <t xml:space="preserve">2021</t>
  </si>
  <si>
    <t xml:space="preserve">Chef partnership recipe series</t>
  </si>
  <si>
    <t xml:space="preserve">Content / celebrity</t>
  </si>
  <si>
    <t xml:space="preserve">Recipe films with Sorin Bontea and Cătălin Scărlătescu pairing dishes with the winery's Rară Neagră, Fetească Neagră and rosé</t>
  </si>
  <si>
    <t xml:space="preserve">Television chefs supply both reach and the pairing occasion, which is what an unknown Moldovan label needs in Romania.</t>
  </si>
  <si>
    <t xml:space="preserve">https://domeniiledavidescu.ro/articole/</t>
  </si>
  <si>
    <t xml:space="preserve">„La făcut de vin” with Mircea Bravo</t>
  </si>
  <si>
    <t xml:space="preserve">Influencer content</t>
  </si>
  <si>
    <t xml:space="preserve">A film made with the comedian Mircea Bravo about winemaking in the Republic of Moldova</t>
  </si>
  <si>
    <t xml:space="preserve">Swaps the chef format for a comedian with a young national audience — same borrowed-reach logic, different demographic.</t>
  </si>
  <si>
    <t xml:space="preserve">Official Supplier to the Royal House of Romania</t>
  </si>
  <si>
    <t xml:space="preserve">Prestige endorsement</t>
  </si>
  <si>
    <t xml:space="preserve">The winery became an official supplier to the Romanian Royal House</t>
  </si>
  <si>
    <t xml:space="preserve">A warrant is the strongest available prestige signal in Romania, and it settles the origin question a Moldovan producer otherwise carries.</t>
  </si>
  <si>
    <t xml:space="preserve">https://domeniiledavidescu.ro/articole/domeniile-davidescu-devine-furnizor-al-casei-regale-a-romaniei/</t>
  </si>
  <si>
    <t xml:space="preserve">Jan.–Feb. 2026</t>
  </si>
  <si>
    <t xml:space="preserve">Owned content sprint, 29 posts in six weeks</t>
  </si>
  <si>
    <t xml:space="preserve">A concentrated run of pairing guides, variety explainers and gift recommendations published across January and early February 2026</t>
  </si>
  <si>
    <t xml:space="preserve">A burst rather than a drip: content timed to the festive and gifting window, then stopped.</t>
  </si>
  <si>
    <t xml:space="preserve">1994 onward</t>
  </si>
  <si>
    <t xml:space="preserve">Fetească Neagră restoration mission</t>
  </si>
  <si>
    <t xml:space="preserve">The founders' stated purpose was to restore the dignity of Romania's flagship native red after decades of overproduction</t>
  </si>
  <si>
    <t xml:space="preserve">A mission bigger than the brand: the winery's marketing has always been about a grape variety, which is why its authority outlasts individual vintages.</t>
  </si>
  <si>
    <t xml:space="preserve">https://business-review.eu/lifestyle/food-wine/serve-winery-30-years-of-excellence-in-the-production-and-promotion-of-romanian-wine-269267</t>
  </si>
  <si>
    <t xml:space="preserve">Thirty-year anniversary programme</t>
  </si>
  <si>
    <t xml:space="preserve">Heritage / anniversary</t>
  </si>
  <si>
    <t xml:space="preserve">Communications marking three decades since 1994 as Romania's first private winery established after 1989</t>
  </si>
  <si>
    <t xml:space="preserve">Primacy is the one claim a competitor cannot buy, and an anniversary is the occasion to restate it.</t>
  </si>
  <si>
    <t xml:space="preserve">https://www.revistabiz.ro/crama-serve-30-de-ani-in-productia-si-promovarea-vinului-romanesc/</t>
  </si>
  <si>
    <t xml:space="preserve">250+ medals and the first 90-plus Parker Fetească Neagră</t>
  </si>
  <si>
    <t xml:space="preserve">More than 250 medals since 1996 and the first Romanian Fetească Neagră rated above 90 Parker points</t>
  </si>
  <si>
    <t xml:space="preserve">A quantified critical record substitutes for advertising in a portfolio sold largely through specialists and on-trade.</t>
  </si>
  <si>
    <t xml:space="preserve">„Povești cu vinuri românești” Best White Wine</t>
  </si>
  <si>
    <t xml:space="preserve">First place in the Best White Wine category at the competition's tenth edition</t>
  </si>
  <si>
    <t xml:space="preserve">Keeps a current domestic result on the board alongside the historic international record.</t>
  </si>
  <si>
    <t xml:space="preserve">Vinul Cavalerului, Terra Romana and the Cuvée ladder</t>
  </si>
  <si>
    <t xml:space="preserve">An accessible knight brand, a mid-tier Terra Romana and named super-premium Cuvées — Charlotte, Guy de Poix, Clemence, Amaury, Sissi and Pacs</t>
  </si>
  <si>
    <t xml:space="preserve">The Cuvées are named after family members, which ties the top of the range to the founding story rather than to a vineyard.</t>
  </si>
  <si>
    <t xml:space="preserve">https://www.crameromania.ro/crame/s.e.r.v.e.-crama-terra-romana-vinul-cavalerului-cuvee-charlotte-amaury-7.html</t>
  </si>
  <si>
    <t xml:space="preserve">Acquisition by Purcari Wineries completed</t>
  </si>
  <si>
    <t xml:space="preserve">Corporate / ownership</t>
  </si>
  <si>
    <t xml:space="preserve">Purcari announced completion after all corporate and regulatory approvals; about 60 hectares and 500,000 bottles join the group, 1.5 km from Crama Ceptura</t>
  </si>
  <si>
    <t xml:space="preserve">Two Ceptura names now sit under one owner: the heritage brand and the volume brand, which is a portfolio question the group has yet to answer publicly.</t>
  </si>
  <si>
    <t xml:space="preserve">Feb.–Mar. 2026</t>
  </si>
  <si>
    <t xml:space="preserve">Fetească Neagră content and „Making of SERVE wine”</t>
  </si>
  <si>
    <t xml:space="preserve">A run of owned content on Fetească Neagră, the estate's story, a viticultural dictionary and a making-of series, published in the weeks before the Purcari deal was announced</t>
  </si>
  <si>
    <t xml:space="preserve">The house restates what it stands for immediately before ownership changes — the founding mission put on the record.</t>
  </si>
  <si>
    <t xml:space="preserve">Year</t>
  </si>
  <si>
    <t xml:space="preserve">Month</t>
  </si>
  <si>
    <t xml:space="preserve">Date</t>
  </si>
  <si>
    <t xml:space="preserve">Campaign / item</t>
  </si>
  <si>
    <t xml:space="preserve">Where it was found</t>
  </si>
  <si>
    <t xml:space="preserve">Coverage by winery</t>
  </si>
  <si>
    <t xml:space="preserve">Rows</t>
  </si>
  <si>
    <t xml:space="preserve">12</t>
  </si>
  <si>
    <t xml:space="preserve">2023-12-31</t>
  </si>
  <si>
    <t xml:space="preserve">Comoara Pivniţei</t>
  </si>
  <si>
    <t xml:space="preserve">Brand communication</t>
  </si>
  <si>
    <t xml:space="preserve">Official winery news/blog</t>
  </si>
  <si>
    <t xml:space="preserve">https://www.beciuldomnesc.ro/list/producator/comoara-pivnitei?fc=7</t>
  </si>
  <si>
    <t xml:space="preserve">Povestea noastră</t>
  </si>
  <si>
    <t xml:space="preserve">https://www.beciuldomnesc.ro/page/companie</t>
  </si>
  <si>
    <t xml:space="preserve">Beciul Domnesc lansează campania promoţională „Somelier de Grătar” împreună cu agenția Interactions</t>
  </si>
  <si>
    <t xml:space="preserve">IQads (Romanian marketing press); date estimated from the publisher's article sequence</t>
  </si>
  <si>
    <t xml:space="preserve">https://www.iqads.ro/articol/76345/beciul-domnesc-lanseaza-campania-promotionala-somelier-de-gratar-impreuna-cu</t>
  </si>
  <si>
    <t xml:space="preserve">04</t>
  </si>
  <si>
    <t xml:space="preserve">2021-04-21</t>
  </si>
  <si>
    <t xml:space="preserve">Declaration on the Sustainable Development Strategy</t>
  </si>
  <si>
    <t xml:space="preserve">https://budureascawines.com/declaration/</t>
  </si>
  <si>
    <t xml:space="preserve">2026-04-02</t>
  </si>
  <si>
    <t xml:space="preserve">Prevenirea și reducerea risipei alimentare</t>
  </si>
  <si>
    <t xml:space="preserve">https://budureascawines.com/ro/program-national-risipa-alimentara/</t>
  </si>
  <si>
    <t xml:space="preserve">10</t>
  </si>
  <si>
    <t xml:space="preserve">2021-10-28</t>
  </si>
  <si>
    <t xml:space="preserve">Carassia a câștigat la Londra un număr record de medalii!</t>
  </si>
  <si>
    <t xml:space="preserve">https://www.carastelecwinery.com/ro/tripluaur-la-cswwc2021-2</t>
  </si>
  <si>
    <t xml:space="preserve">Record number of medals for Carassia sparklings in London</t>
  </si>
  <si>
    <t xml:space="preserve">https://www.carastelecwinery.com/en/triple-gold-cswwc2021-2</t>
  </si>
  <si>
    <t xml:space="preserve">Rekordszámú érmet szereztek a londoni Pezsgő Világbajnokságon a Carassia pezsgők</t>
  </si>
  <si>
    <t xml:space="preserve">https://www.carastelecwinery.com/3arany_cswwc2021-2</t>
  </si>
  <si>
    <t xml:space="preserve">2021-12-02</t>
  </si>
  <si>
    <t xml:space="preserve">A Carassia Rosé a Pezsgő Világbajnokság egyik legrangosabb trófeáját és a Nemzeti bajnok címet is megszerezte</t>
  </si>
  <si>
    <t xml:space="preserve">https://www.carastelecwinery.com/trofeak_cswwc2021</t>
  </si>
  <si>
    <t xml:space="preserve">Carassia Rosé Brut este anul acesta Campion Național și titular al Chairman`s Trophy.</t>
  </si>
  <si>
    <t xml:space="preserve">https://www.carastelecwinery.com/ro/national-champion-cswwc2021</t>
  </si>
  <si>
    <t xml:space="preserve">2021-12-03</t>
  </si>
  <si>
    <t xml:space="preserve">Carassia Rosé Brut won the Chairman’s Trophy and it is also the National Champion of Romania this year.</t>
  </si>
  <si>
    <t xml:space="preserve">https://www.carastelecwinery.com/en/chairmans-trophy-national-champion-cswwc2021</t>
  </si>
  <si>
    <t xml:space="preserve">09</t>
  </si>
  <si>
    <t xml:space="preserve">2022-09-16</t>
  </si>
  <si>
    <t xml:space="preserve">O medalie de aur și două de argint la ediția din 2022 a Campionatului Mondial de Șampanii și Spumante din Londra</t>
  </si>
  <si>
    <t xml:space="preserve">https://www.carastelecwinery.com/ro/cswwc2022-ro</t>
  </si>
  <si>
    <t xml:space="preserve">One gold and two silver medals at the Champagne and Sparkling Wine World Championship 2022</t>
  </si>
  <si>
    <t xml:space="preserve">https://www.carastelecwinery.com/en/cswwc2022-en-2</t>
  </si>
  <si>
    <t xml:space="preserve">Töretlenül folytatódik az éremgyűjtés – Egy arany, két ezüst a 2022-es Pezsgővilágbajnokságon.</t>
  </si>
  <si>
    <t xml:space="preserve">https://www.carastelecwinery.com/cswwc2022-hu</t>
  </si>
  <si>
    <t xml:space="preserve">11</t>
  </si>
  <si>
    <t xml:space="preserve">2022-11-05</t>
  </si>
  <si>
    <t xml:space="preserve">A new National Champion title for Carassia sparkling wines</t>
  </si>
  <si>
    <t xml:space="preserve">https://www.carastelecwinery.com/en/cswwc2022-national-champion</t>
  </si>
  <si>
    <t xml:space="preserve">Harmadszorra Nemzeti Bajnok a Carassia</t>
  </si>
  <si>
    <t xml:space="preserve">https://www.carastelecwinery.com/cswwc2022-hu-nemzeti-bajnok</t>
  </si>
  <si>
    <t xml:space="preserve">Un nou titlu de Campion National pentru spumantele Carassia</t>
  </si>
  <si>
    <t xml:space="preserve">https://www.carastelecwinery.com/ro/cswwc2022-campion-national</t>
  </si>
  <si>
    <t xml:space="preserve">2023-09-20</t>
  </si>
  <si>
    <t xml:space="preserve">Carassia Magnum Wines Shine Bright with Three Gold Medals at CSWWC 2023</t>
  </si>
  <si>
    <t xml:space="preserve">https://www.carastelecwinery.com/en/cswwc2023-three-gold-medals-magnum</t>
  </si>
  <si>
    <t xml:space="preserve">Három aranyérem a Carassia magnumoknak a Pezsgővilágbajnokságon!</t>
  </si>
  <si>
    <t xml:space="preserve">https://www.carastelecwinery.com/cswwc2023-hu-harom-aranyerem-magnum</t>
  </si>
  <si>
    <t xml:space="preserve">2023-09-21</t>
  </si>
  <si>
    <t xml:space="preserve">Triplu aur pentru magnumuri la prestigioasa competiție CSWWC 2023</t>
  </si>
  <si>
    <t xml:space="preserve">https://www.carastelecwinery.com/ro/cswwc2023-3-medalii-aur-carassia-magnum</t>
  </si>
  <si>
    <t xml:space="preserve">2023-11-05</t>
  </si>
  <si>
    <t xml:space="preserve">Carassia az év legjobb Blanc de Blancs pezsgője</t>
  </si>
  <si>
    <t xml:space="preserve">https://www.carastelecwinery.com/cswwc2023-hu-harom-aranyerem-magnum-2</t>
  </si>
  <si>
    <t xml:space="preserve">2023-11-04</t>
  </si>
  <si>
    <t xml:space="preserve">Carassia wins the Blanc de Blancs World Champion title</t>
  </si>
  <si>
    <t xml:space="preserve">https://www.carastelecwinery.com/en/cswwc2023-worldchampion-carassia-collection</t>
  </si>
  <si>
    <t xml:space="preserve">Cel mai bun Blanc de Blancs al anului 2023 este Collection #1</t>
  </si>
  <si>
    <t xml:space="preserve">https://www.carastelecwinery.com/ro/cswwc2023-worldchampion-carassia-blancdeblancs</t>
  </si>
  <si>
    <t xml:space="preserve">2024-09-16</t>
  </si>
  <si>
    <t xml:space="preserve">100% ARANY! Négy nevezett tételből négy aranyérmet nyertünk a 2024-es Champagne &amp; Sparkling Wine World Championships versenyen!</t>
  </si>
  <si>
    <t xml:space="preserve">https://www.carastelecwinery.com/negy-aranyerem-a-cswwc-2024-versenyen</t>
  </si>
  <si>
    <t xml:space="preserve">100% AUR! 4 din 4 medalii de aur la Campionatul Mondial de Șampanie și Vinuri Spumante 2024</t>
  </si>
  <si>
    <t xml:space="preserve">https://www.carastelecwinery.com/ro/4-din-4-medalii-de-aur-la-cswwc24</t>
  </si>
  <si>
    <t xml:space="preserve">100% GOLD! 4 out of 4 gold medals at Champagne &amp; Sparkling Wine World Championships 2024</t>
  </si>
  <si>
    <t xml:space="preserve">https://www.carastelecwinery.com/en/4-out-of-4-gold-medals-at-cswwc24</t>
  </si>
  <si>
    <t xml:space="preserve">2025-11-13</t>
  </si>
  <si>
    <t xml:space="preserve">Carassia, Consistently Among the Finest at CSWWC</t>
  </si>
  <si>
    <t xml:space="preserve">https://www.carastelecwinery.com/en/carassia-consistently-among-the-finest-at-cswwc</t>
  </si>
  <si>
    <t xml:space="preserve">Carassia, medaliată constant la CSWWC</t>
  </si>
  <si>
    <t xml:space="preserve">https://www.carastelecwinery.com/ro/carassia-medaliata-constant-la-cswwc</t>
  </si>
  <si>
    <t xml:space="preserve">KUBIS semnează noua campanie TV pentru Crama Ceptura “Împreună, dincolo de granițe.”</t>
  </si>
  <si>
    <t xml:space="preserve">01</t>
  </si>
  <si>
    <t xml:space="preserve">2021-01-03</t>
  </si>
  <si>
    <t xml:space="preserve">Crama Girboiu – O retrospectivă a anului 2020</t>
  </si>
  <si>
    <t xml:space="preserve">https://cramagirboiu.ro/blog/crama-girboiu-o-retrospectiva-a-anului-2020/</t>
  </si>
  <si>
    <t xml:space="preserve">2021-01-19</t>
  </si>
  <si>
    <t xml:space="preserve">Dry January: Un Ianuarie fără alcool?</t>
  </si>
  <si>
    <t xml:space="preserve">https://cramagirboiu.ro/blog/dry-january-un-ianuarie-fara-alcool/</t>
  </si>
  <si>
    <t xml:space="preserve">Total</t>
  </si>
  <si>
    <t xml:space="preserve">2021-01-05</t>
  </si>
  <si>
    <t xml:space="preserve">Rezoluția ta pentru anul 2021 ar putea fi să bei vinuri mai bune</t>
  </si>
  <si>
    <t xml:space="preserve">https://cramagirboiu.ro/blog/vinurile-bune-fac-parte-din-rezolutia-ta-pentru-anul-2021/</t>
  </si>
  <si>
    <t xml:space="preserve">02</t>
  </si>
  <si>
    <t xml:space="preserve">2021-02-02</t>
  </si>
  <si>
    <t xml:space="preserve">Recomandări de vinuri romantice pentru Ziua Îndrăgostiților</t>
  </si>
  <si>
    <t xml:space="preserve">https://cramagirboiu.ro/blog/cele-mai-romantice-vinuri-pentru-ziua-indragostitilor/</t>
  </si>
  <si>
    <t xml:space="preserve">2021-02-16</t>
  </si>
  <si>
    <t xml:space="preserve">Specialități Culinare – cu ce vin le asociem anul acesta?</t>
  </si>
  <si>
    <t xml:space="preserve">https://cramagirboiu.ro/blog/cu-ce-specialitati-asociem-vinurile-anul-acesta/</t>
  </si>
  <si>
    <t xml:space="preserve">03</t>
  </si>
  <si>
    <t xml:space="preserve">2021-03-31</t>
  </si>
  <si>
    <t xml:space="preserve">Care este cea mai buna Feteasca Neagra?</t>
  </si>
  <si>
    <t xml:space="preserve">https://cramagirboiu.ro/blog/feteasca-neagra-ambasador/</t>
  </si>
  <si>
    <t xml:space="preserve">2021-03-16</t>
  </si>
  <si>
    <t xml:space="preserve">Despre vinuri bune și barrique</t>
  </si>
  <si>
    <t xml:space="preserve">https://cramagirboiu.ro/blog/barrique-si-vinurile-bune-de-la-crama-girboiu/</t>
  </si>
  <si>
    <t xml:space="preserve">2021-03-01</t>
  </si>
  <si>
    <t xml:space="preserve">Sărbătorește Ziua Femeii cu Vinul LIVIA</t>
  </si>
  <si>
    <t xml:space="preserve">https://cramagirboiu.ro/blog/sarbatoreste-ziua-femeii-cu-vinul-livia-in-luna-martie/</t>
  </si>
  <si>
    <t xml:space="preserve">2021-04-05</t>
  </si>
  <si>
    <t xml:space="preserve">Ce este metoda traditionala?</t>
  </si>
  <si>
    <t xml:space="preserve">https://cramagirboiu.ro/blog/ce-este-metoda-traditionala/</t>
  </si>
  <si>
    <t xml:space="preserve">2021-04-06</t>
  </si>
  <si>
    <t xml:space="preserve">Fumé: Tot ce trebuie să știi despre Vinul Fumé</t>
  </si>
  <si>
    <t xml:space="preserve">https://cramagirboiu.ro/blog/fume-tot-ce-trebuie-sa-stii-despre-vinul-fume/</t>
  </si>
  <si>
    <t xml:space="preserve">2021-04-20</t>
  </si>
  <si>
    <t xml:space="preserve">Masa de Paște și vinurile românești. Află care sunt cele mai recomandate alegeri.</t>
  </si>
  <si>
    <t xml:space="preserve">https://cramagirboiu.ro/blog/ce-vinuri-bem-la-masa-de-paste/</t>
  </si>
  <si>
    <t xml:space="preserve">05</t>
  </si>
  <si>
    <t xml:space="preserve">2021-05-15</t>
  </si>
  <si>
    <t xml:space="preserve">Cele mai înalte distincții pentru Crama Gîrboiu la Mundus Vini 2021!</t>
  </si>
  <si>
    <t xml:space="preserve">https://cramagirboiu.ro/blog/cele-mai-bune-vinuri-romanesti-2021/</t>
  </si>
  <si>
    <t xml:space="preserve">2021-05-11</t>
  </si>
  <si>
    <t xml:space="preserve">De Constantin și Elena, sărbătorește-i pe cei dragi cu vinurile Constantin și Petite Helena</t>
  </si>
  <si>
    <t xml:space="preserve">https://cramagirboiu.ro/blog/de-constantin-si-elena-sarbatoreste-i-pe-cei-dragi-cu-vinurile-constantin-si-petite-helena/</t>
  </si>
  <si>
    <t xml:space="preserve">2021-05-04</t>
  </si>
  <si>
    <t xml:space="preserve">Tamaioasa Romaneasca, o editie speciala!</t>
  </si>
  <si>
    <t xml:space="preserve">https://cramagirboiu.ro/blog/bacanta-tamaioasa-romaneasca-o-editie-speciala/</t>
  </si>
  <si>
    <t xml:space="preserve">07</t>
  </si>
  <si>
    <t xml:space="preserve">2021-07-01</t>
  </si>
  <si>
    <t xml:space="preserve">Concours Mondial de Bruxelles 2021 – Comunicat de Presa</t>
  </si>
  <si>
    <t xml:space="preserve">https://cramagirboiu.ro/blog/7-medalii-la-concours-mondial-de-bruxelles/</t>
  </si>
  <si>
    <t xml:space="preserve">2021-07-29</t>
  </si>
  <si>
    <t xml:space="preserve">Tipuri de pahare de vin și cum îl alegi pe cel potrivit</t>
  </si>
  <si>
    <t xml:space="preserve">https://cramagirboiu.ro/blog/https-cramagirboiu-ro-cum-alegem-corect-un-pahar-de-vin/</t>
  </si>
  <si>
    <t xml:space="preserve">2021-07-08</t>
  </si>
  <si>
    <t xml:space="preserve">Vinul Rosé, probabil cel mai versatil vin al Cramei Gîrboiu</t>
  </si>
  <si>
    <t xml:space="preserve">https://cramagirboiu.ro/blog/rose-ul-probabil-cel-mai-versatil-vin-al-cramei-girboiu/</t>
  </si>
  <si>
    <t xml:space="preserve">2021-07-22</t>
  </si>
  <si>
    <t xml:space="preserve">Șprițul: cum se face și ce vin alegi pentru un șpriț perfect</t>
  </si>
  <si>
    <t xml:space="preserve">https://cramagirboiu.ro/blog/cum-se-face-spritul/</t>
  </si>
  <si>
    <t xml:space="preserve">08</t>
  </si>
  <si>
    <t xml:space="preserve">2021-08-25</t>
  </si>
  <si>
    <t xml:space="preserve">Cum alegi cel mai bun vin: tips &amp; tricks pentru novicii vinului</t>
  </si>
  <si>
    <t xml:space="preserve">https://cramagirboiu.ro/blog/cum-alegi-cel-mai-bun-vin-tips-tricks-pentru-novicii-vinului/</t>
  </si>
  <si>
    <t xml:space="preserve">2021-08-29</t>
  </si>
  <si>
    <t xml:space="preserve">Vinuri cadou? Află de ce vinul este cadoul perfect.</t>
  </si>
  <si>
    <t xml:space="preserve">https://cramagirboiu.ro/blog/vinuri-cadou-afla-de-ce-vinul-este-cadoul-perfect/</t>
  </si>
  <si>
    <t xml:space="preserve">2021-09-16</t>
  </si>
  <si>
    <t xml:space="preserve">De ce am ales să producem spumantul Cuartz?</t>
  </si>
  <si>
    <t xml:space="preserve">https://cramagirboiu.ro/blog/de-ce-am-ales-sa-producem-vin-spumant-cuartz/</t>
  </si>
  <si>
    <t xml:space="preserve">2021-09-24</t>
  </si>
  <si>
    <t xml:space="preserve">Depozitarea vinului: la ce temperatură îl păstrezi și alte reguli</t>
  </si>
  <si>
    <t xml:space="preserve">https://cramagirboiu.ro/blog/https-cramagirboiu-ro-cum-se-depoziteaza-vinurile-corect/</t>
  </si>
  <si>
    <t xml:space="preserve">2021-09-07</t>
  </si>
  <si>
    <t xml:space="preserve">Descoperă experiența completă Gîrboiu, fă-ne o vizită</t>
  </si>
  <si>
    <t xml:space="preserve">https://cramagirboiu.ro/blog/descopera-experienta-completa-girboiu-fa-ne-o-vizita/</t>
  </si>
  <si>
    <t xml:space="preserve">2021-09-22</t>
  </si>
  <si>
    <t xml:space="preserve">Vinul Șarba – de la soi autohton la vinuri premiate</t>
  </si>
  <si>
    <t xml:space="preserve">https://cramagirboiu.ro/blog/vinul-sarba-soi-autohton/</t>
  </si>
  <si>
    <t xml:space="preserve">2021-10-13</t>
  </si>
  <si>
    <t xml:space="preserve">Ce vinuri bem toamna aceasta?</t>
  </si>
  <si>
    <t xml:space="preserve">https://cramagirboiu.ro/blog/ce-vinuri-bem-toamna-aceasta/</t>
  </si>
  <si>
    <t xml:space="preserve">2021-10-07</t>
  </si>
  <si>
    <t xml:space="preserve">Cu ce roade vine toamna la Crama Girboiu?</t>
  </si>
  <si>
    <t xml:space="preserve">https://cramagirboiu.ro/blog/toamna-la-crama-girboiu/</t>
  </si>
  <si>
    <t xml:space="preserve">2021-10-16</t>
  </si>
  <si>
    <t xml:space="preserve">Cum se obține vinul roze? Metode de vinificare și secretele culorii sale</t>
  </si>
  <si>
    <t xml:space="preserve">https://cramagirboiu.ro/blog/cum-se-obtine-vinul-roze/</t>
  </si>
  <si>
    <t xml:space="preserve">2021-10-21</t>
  </si>
  <si>
    <t xml:space="preserve">Pachet Vinuri Medaliate – Cadoul Perfect!</t>
  </si>
  <si>
    <t xml:space="preserve">https://cramagirboiu.ro/blog/pachet-vinuri-medaliate-cadou/</t>
  </si>
  <si>
    <t xml:space="preserve">2021-10-27</t>
  </si>
  <si>
    <t xml:space="preserve">Răsfață-te cu vinuri premiate la Berliner Wein Trophy 2021</t>
  </si>
  <si>
    <t xml:space="preserve">https://cramagirboiu.ro/blog/rasfata-te-cu-vinuri-premiate-la-berliner-wein-trophy-2021/</t>
  </si>
  <si>
    <t xml:space="preserve">2021-11-18</t>
  </si>
  <si>
    <t xml:space="preserve">Cadouri pentru El: Alege un vin bun, românesc</t>
  </si>
  <si>
    <t xml:space="preserve">https://cramagirboiu.ro/blog/cadouri-pentru-el-alege-un-vin-bun-romanesc/</t>
  </si>
  <si>
    <t xml:space="preserve">2021-11-24</t>
  </si>
  <si>
    <t xml:space="preserve">Ce este metoda Sur Lie? Maturarea vinurilor pe drojdii</t>
  </si>
  <si>
    <t xml:space="preserve">https://cramagirboiu.ro/blog/metoda-sur-lie/</t>
  </si>
  <si>
    <t xml:space="preserve">2021-12-15</t>
  </si>
  <si>
    <t xml:space="preserve">Petrecerea de Revelion este despre vinuri, șampanie și oameni frumoși</t>
  </si>
  <si>
    <t xml:space="preserve">https://cramagirboiu.ro/blog/petrecerea-de-revelion-este-despre-vinuri-sampanie-si-oameni-frumosi/</t>
  </si>
  <si>
    <t xml:space="preserve">2021-12-09</t>
  </si>
  <si>
    <t xml:space="preserve">Vinuri românești pentru sărbători fericite: Află care este vinul potrivit meselor de Crăciun</t>
  </si>
  <si>
    <t xml:space="preserve">https://cramagirboiu.ro/blog/vinuri-romanesti-pentru-sarbatori-fericite-afla-care-este-vinul-potrivit-meselor-de-craciun/</t>
  </si>
  <si>
    <t xml:space="preserve">2022-01-03</t>
  </si>
  <si>
    <t xml:space="preserve">Crama Gîrboiu – O retrospectivă a anului 2021</t>
  </si>
  <si>
    <t xml:space="preserve">https://cramagirboiu.ro/blog/crama-girboiu-retrospectiva-anului-2021/</t>
  </si>
  <si>
    <t xml:space="preserve">2022-01-25</t>
  </si>
  <si>
    <t xml:space="preserve">Vinul de zi cu zi. Care sunt vinurile de care te poți bucura în serile de ianuarie?</t>
  </si>
  <si>
    <t xml:space="preserve">https://cramagirboiu.ro/blog/vinul-de-zi-cu-zi/</t>
  </si>
  <si>
    <t xml:space="preserve">2022-01-15</t>
  </si>
  <si>
    <t xml:space="preserve">Vinuri bune anul are! In 2022, vă propunem să descoperiţi gustul vinului românesc.</t>
  </si>
  <si>
    <t xml:space="preserve">https://cramagirboiu.ro/blog/vinuri-bune-anul-are-in-2022-va-propunem-sa-descoperiti-gustul-vinului-romanesc/</t>
  </si>
  <si>
    <t xml:space="preserve">2022-02-19</t>
  </si>
  <si>
    <t xml:space="preserve">Ce este vinul de desert / vinul dulce? Tipuri și metode de obținere.</t>
  </si>
  <si>
    <t xml:space="preserve">https://cramagirboiu.ro/blog/ce-este-vinul-de-desert/</t>
  </si>
  <si>
    <t xml:space="preserve">2022-02-10</t>
  </si>
  <si>
    <t xml:space="preserve">De ce nu fermenteaza mustul? Cauze si solutii</t>
  </si>
  <si>
    <t xml:space="preserve">https://cramagirboiu.ro/blog/de-ce-nu-fermenteaza-mustul/</t>
  </si>
  <si>
    <t xml:space="preserve">2022-02-16</t>
  </si>
  <si>
    <t xml:space="preserve">Vinuri romantice pentru momente irezistibile de iubire</t>
  </si>
  <si>
    <t xml:space="preserve">https://cramagirboiu.ro/blog/vinuri-romantice-pentru-momente-irezistibile-de-iubire/</t>
  </si>
  <si>
    <t xml:space="preserve">2022-02-08</t>
  </si>
  <si>
    <t xml:space="preserve">Ziua Îndrăgostiţilor și vinurile Cramei Gîrboiu: o pereche romantică, de nerefuzat!</t>
  </si>
  <si>
    <t xml:space="preserve">https://cramagirboiu.ro/blog/ziua-indragostitilor-si-vinurile-cramei-girboiu/</t>
  </si>
  <si>
    <t xml:space="preserve">2022-03-16</t>
  </si>
  <si>
    <t xml:space="preserve">Beneficiile vinului roșu se găsesc la tine în pahar</t>
  </si>
  <si>
    <t xml:space="preserve">https://cramagirboiu.ro/blog/beneficiile-vinului-rosu-se-gasesc-la-tine-in-pahar/</t>
  </si>
  <si>
    <t xml:space="preserve">2022-03-08</t>
  </si>
  <si>
    <t xml:space="preserve">Continuăm revoluția Screw-cap de această dată cu gama Epicentrum</t>
  </si>
  <si>
    <t xml:space="preserve">https://cramagirboiu.ro/blog/continuam-revolutia-screw-cap-cu-epicentrum/</t>
  </si>
  <si>
    <t xml:space="preserve">2022-03-01</t>
  </si>
  <si>
    <t xml:space="preserve">Incepem anul 2022 doar cu vinuri Medaliate de la Crama Girboiu</t>
  </si>
  <si>
    <t xml:space="preserve">https://cramagirboiu.ro/blog/vinuri-medaliate-mundus-vini-2022/</t>
  </si>
  <si>
    <t xml:space="preserve">2022-03-07</t>
  </si>
  <si>
    <t xml:space="preserve">Vinuri de 8 Martie – o invitație la o primavară în doi</t>
  </si>
  <si>
    <t xml:space="preserve">https://cramagirboiu.ro/blog/vinuri-de-8-martie-o-invitatie-la-o-primavara-in-doi/</t>
  </si>
  <si>
    <t xml:space="preserve">2022-04-13</t>
  </si>
  <si>
    <t xml:space="preserve">Vinuri pentru masa de Paşte: Un ghid românesc de la Crama Gîrboiu</t>
  </si>
  <si>
    <t xml:space="preserve">https://cramagirboiu.ro/blog/vinuri-pentru-masa-de-paste-un-ghid-romanesc-de-la-crama-girboiu/</t>
  </si>
  <si>
    <t xml:space="preserve">2022-04-04</t>
  </si>
  <si>
    <t xml:space="preserve">Vinuri umami și Crama Gîrboiu</t>
  </si>
  <si>
    <t xml:space="preserve">https://cramagirboiu.ro/blog/vinuri-umami-si-crama-girboiu/</t>
  </si>
  <si>
    <t xml:space="preserve">2022-05-19</t>
  </si>
  <si>
    <t xml:space="preserve">Care sunt cele mai bune vinuri albe și cum le servim. Top 5 recomandări</t>
  </si>
  <si>
    <t xml:space="preserve">https://cramagirboiu.ro/blog/cele-mai-bune-vinuri-albe/</t>
  </si>
  <si>
    <t xml:space="preserve">2022-05-10</t>
  </si>
  <si>
    <t xml:space="preserve">Constantin și Elena: vinuri cadou și momente de sărbătoare</t>
  </si>
  <si>
    <t xml:space="preserve">https://cramagirboiu.ro/blog/constantin-si-elena-vinuri-cadou-si-momente-de-sarbatoare/</t>
  </si>
  <si>
    <t xml:space="preserve">2022-05-25</t>
  </si>
  <si>
    <t xml:space="preserve">Tipuri de vin spumant. Cum îl alegi în funcție de meniu</t>
  </si>
  <si>
    <t xml:space="preserve">https://cramagirboiu.ro/blog/vin-spumant-tipuri-cum-il-alegi-in-functie-de-meniu/</t>
  </si>
  <si>
    <t xml:space="preserve">06</t>
  </si>
  <si>
    <t xml:space="preserve">2022-06-28</t>
  </si>
  <si>
    <t xml:space="preserve">Cele mai bune vinuri rose pentru relaxare în această vară</t>
  </si>
  <si>
    <t xml:space="preserve">https://cramagirboiu.ro/blog/cele-mai-bune-vinuri-rose-pentru-vara/</t>
  </si>
  <si>
    <t xml:space="preserve">2022-06-15</t>
  </si>
  <si>
    <t xml:space="preserve">Tot ce trebuie să știi despre organizarea unui tur oenologic</t>
  </si>
  <si>
    <t xml:space="preserve">https://cramagirboiu.ro/blog/organizare-tur-oenologic-ghid/</t>
  </si>
  <si>
    <t xml:space="preserve">2022-06-23</t>
  </si>
  <si>
    <t xml:space="preserve">Vinul alb: beneficii, tipuri și cum îl asociezi corect cu mâncarea</t>
  </si>
  <si>
    <t xml:space="preserve">https://cramagirboiu.ro/blog/vin-alb-beneficii-tipuri-asocieri/</t>
  </si>
  <si>
    <t xml:space="preserve">2022-08-25</t>
  </si>
  <si>
    <t xml:space="preserve">Câte calorii are vinul? Informații despre valorile nutriționale ale acestei băuturi</t>
  </si>
  <si>
    <t xml:space="preserve">https://cramagirboiu.ro/blog/cate-calorii-are-vinul/</t>
  </si>
  <si>
    <t xml:space="preserve">2022-08-01</t>
  </si>
  <si>
    <t xml:space="preserve">Soiuri de struguri pentru vin. Ghid complet cu recomandări și caracteristici</t>
  </si>
  <si>
    <t xml:space="preserve">https://cramagirboiu.ro/blog/soiuri-de-struguri-pentru-vin-ghid-complet-cu-recomandari-si-caracteristici/</t>
  </si>
  <si>
    <t xml:space="preserve">2022-09-29</t>
  </si>
  <si>
    <t xml:space="preserve">Cantitatea de zahăr din vinul spumant: Tot ce trebuie să știi</t>
  </si>
  <si>
    <t xml:space="preserve">https://cramagirboiu.ro/blog/cantitatea-de-zahar-in-vinurile-spumante/</t>
  </si>
  <si>
    <t xml:space="preserve">2022-10-31</t>
  </si>
  <si>
    <t xml:space="preserve">Cu ce se scot petele de vin roșu? Câteva indicații despre îndepărtarea acestora</t>
  </si>
  <si>
    <t xml:space="preserve">https://cramagirboiu.ro/blog/cu-ce-se-scot-petele-de-vin-rosu-cateva-indicatii-despre-indepartarea-acestora/</t>
  </si>
  <si>
    <t xml:space="preserve">2022-11-28</t>
  </si>
  <si>
    <t xml:space="preserve">Cum să faci cel mai bun vin fiert: rețetă, condimente, alegerea vinului</t>
  </si>
  <si>
    <t xml:space="preserve">https://cramagirboiu.ro/blog/cum-sa-faci-cel-mai-bun-vin-fiert-reteta-condimente-alegerea-vinului/</t>
  </si>
  <si>
    <t xml:space="preserve">2022-11-11</t>
  </si>
  <si>
    <t xml:space="preserve">Tipuri de vinuri: clasificare și de ce Feteasca Neagră se numără printre cele mai apreciate</t>
  </si>
  <si>
    <t xml:space="preserve">https://cramagirboiu.ro/blog/tipuri-de-vinuri-clasificare/</t>
  </si>
  <si>
    <t xml:space="preserve">2022-12-06</t>
  </si>
  <si>
    <t xml:space="preserve">2022: Medalii si Recunoastere Internationala pentru Crama Girboiu</t>
  </si>
  <si>
    <t xml:space="preserve">https://cramagirboiu.ro/blog/2022-medalii-si-recunoastere-internationala/</t>
  </si>
  <si>
    <t xml:space="preserve">2022-12-04</t>
  </si>
  <si>
    <t xml:space="preserve">Recolta 2022: de la seceta la calitate exceptionala</t>
  </si>
  <si>
    <t xml:space="preserve">https://cramagirboiu.ro/blog/recolta-2022/</t>
  </si>
  <si>
    <t xml:space="preserve">2023-03-09</t>
  </si>
  <si>
    <t xml:space="preserve">Vinul de calitate vrâncean și recunoașterea internațională: 19 medalii de Aur din care 3 Mari Medalii pentru vinurile Crama Gîrboiu in 2023</t>
  </si>
  <si>
    <t xml:space="preserve">https://cramagirboiu.ro/blog/vinuri-medaliate-2023/</t>
  </si>
  <si>
    <t xml:space="preserve">2023-04-19</t>
  </si>
  <si>
    <t xml:space="preserve">Crama Girboiu, Best Producer Romania la Berliner Wein Trophy</t>
  </si>
  <si>
    <t xml:space="preserve">https://cramagirboiu.ro/blog/crama-girboiu-best-producer/</t>
  </si>
  <si>
    <t xml:space="preserve">2023-04-06</t>
  </si>
  <si>
    <t xml:space="preserve">Cum se ține corect paharul de vin și de ce contează acest lucru</t>
  </si>
  <si>
    <t xml:space="preserve">https://cramagirboiu.ro/blog/cum-se-tine-corect-paharul-de-vin/</t>
  </si>
  <si>
    <t xml:space="preserve">2023-04-05</t>
  </si>
  <si>
    <t xml:space="preserve">Despre Fetească Neagră: istorie, caracteristici si recomandări de degustare</t>
  </si>
  <si>
    <t xml:space="preserve">https://cramagirboiu.ro/blog/despre-feteasca-neagra-istorie-caracteristici-recomandari/</t>
  </si>
  <si>
    <t xml:space="preserve">2023-04-07</t>
  </si>
  <si>
    <t xml:space="preserve">Destinatii de weekend: de ce să alegi vizita la Crama Gîrboiu</t>
  </si>
  <si>
    <t xml:space="preserve">https://cramagirboiu.ro/blog/destinatii-de-weekend-vizita-crama-girboiu/</t>
  </si>
  <si>
    <t xml:space="preserve">Merlot vs Cabernet: diferențe, asemănări și când să îl alegi pe fiecare</t>
  </si>
  <si>
    <t xml:space="preserve">https://cramagirboiu.ro/blog/merlot-vs-cabernet-diferente-si-asemanari/</t>
  </si>
  <si>
    <t xml:space="preserve">2023-04-11</t>
  </si>
  <si>
    <t xml:space="preserve">Organizarea unei petreceri în aer liber: cum alegi băuturile perfecte</t>
  </si>
  <si>
    <t xml:space="preserve">https://cramagirboiu.ro/blog/organizarea-unei-petreceri-in-aer-liber-cum-alegi-bauturile-perfecte/</t>
  </si>
  <si>
    <t xml:space="preserve">2023-05-29</t>
  </si>
  <si>
    <t xml:space="preserve">Vinul rosu creste sau nu tensiunea? Mituri despre vinuri – ce e real si ce nu</t>
  </si>
  <si>
    <t xml:space="preserve">https://cramagirboiu.ro/blog/vinul-rosu-creste-sau-nu-tensiunea-mituri-despre-vinuri-ce-e-real-si-ce-nu/</t>
  </si>
  <si>
    <t xml:space="preserve">2023-06-23</t>
  </si>
  <si>
    <t xml:space="preserve">5 rețete de sosuri cu vin pe care să le încerci</t>
  </si>
  <si>
    <t xml:space="preserve">https://cramagirboiu.ro/blog/5-retete-de-sosuri-cu-vin-pe-care-sa-le-incerci/</t>
  </si>
  <si>
    <t xml:space="preserve">2023-06-03</t>
  </si>
  <si>
    <t xml:space="preserve">Aromele Vinului – primare, secundare si tertiare</t>
  </si>
  <si>
    <t xml:space="preserve">https://cramagirboiu.ro/blog/aromele-vinului/</t>
  </si>
  <si>
    <t xml:space="preserve">Idei de cadouri pentru nași: cum să alegi o sticlă de vin potrivită</t>
  </si>
  <si>
    <t xml:space="preserve">https://cramagirboiu.ro/blog/idei-de-cadouri-pentru-nasi-cum-sa-alegi-o-sticla-de-vin-potrivita/</t>
  </si>
  <si>
    <t xml:space="preserve">2023-07-04</t>
  </si>
  <si>
    <t xml:space="preserve">Ce este taninul și ce rol are în păstrarea vinurilor?</t>
  </si>
  <si>
    <t xml:space="preserve">https://cramagirboiu.ro/blog/ce-este-taninul-si-ce-rol-are-in-pastrarea-vinurilor/</t>
  </si>
  <si>
    <t xml:space="preserve">2023-07-19</t>
  </si>
  <si>
    <t xml:space="preserve">Ce este vinul Prosecco și din ce categorie face parte?</t>
  </si>
  <si>
    <t xml:space="preserve">https://cramagirboiu.ro/blog/ce-este-prosecco-si-din-ce-categorie-de-vinuri-face-parte/</t>
  </si>
  <si>
    <t xml:space="preserve">2023-07-05</t>
  </si>
  <si>
    <t xml:space="preserve">Ce să iei la un picnic: 5 lucruri de care ai nevoie</t>
  </si>
  <si>
    <t xml:space="preserve">https://cramagirboiu.ro/blog/ce-sa-iei-la-un-picnic-5-lucruri-de-care-ai-nevoie/</t>
  </si>
  <si>
    <t xml:space="preserve">Ce vin merge la pește, inclusiv la somon?</t>
  </si>
  <si>
    <t xml:space="preserve">https://cramagirboiu.ro/blog/ce-vin-merge-la-peste-inclusiv-la-somon/</t>
  </si>
  <si>
    <t xml:space="preserve">2023-07-18</t>
  </si>
  <si>
    <t xml:space="preserve">Cinci Retete de cocktailuri cu vin pe care să le încerci cu prietenii</t>
  </si>
  <si>
    <t xml:space="preserve">https://cramagirboiu.ro/blog/5-retete-de-cocktailuri-cu-vin-pe-care-sa-le-incerci-cu-prietenii/</t>
  </si>
  <si>
    <t xml:space="preserve">2023-08-18</t>
  </si>
  <si>
    <t xml:space="preserve">Cum să răcești vinul cât mai rapid? 5 metode cu efect imediat!</t>
  </si>
  <si>
    <t xml:space="preserve">https://cramagirboiu.ro/blog/cum-sa-racesti-vinul-cat-mai-rapid-5-metode/</t>
  </si>
  <si>
    <t xml:space="preserve">2023-08-26</t>
  </si>
  <si>
    <t xml:space="preserve">De ce este Magma un vin rosu Premium care nu trebuie sa lipsească din colecția ta!</t>
  </si>
  <si>
    <t xml:space="preserve">https://cramagirboiu.ro/blog/magma-vin-rosu-premium/</t>
  </si>
  <si>
    <t xml:space="preserve">2023-08-31</t>
  </si>
  <si>
    <t xml:space="preserve">Remedii pentru mahmureală: cum scapi de ea, dar și cum să o eviți?</t>
  </si>
  <si>
    <t xml:space="preserve">https://cramagirboiu.ro/blog/remedii-pentru-mahmureala-cum-scapi-de-ea-dar-si-cum-sa-o-eviti/</t>
  </si>
  <si>
    <t xml:space="preserve">2023-08-22</t>
  </si>
  <si>
    <t xml:space="preserve">Top băuturi și alimente afrodisiace: cum și-a câștigat vinul roșu locul în listă?</t>
  </si>
  <si>
    <t xml:space="preserve">https://cramagirboiu.ro/blog/vinul-rosu-bautura-afrodisiaca/</t>
  </si>
  <si>
    <t xml:space="preserve">2023-09-16</t>
  </si>
  <si>
    <t xml:space="preserve">Crama Girboiu – Cel mai bun producator de vin din Romania</t>
  </si>
  <si>
    <t xml:space="preserve">https://cramagirboiu.ro/blog/crama-girboiu-cel-mai-bun-producator-de-vin-din-romania/</t>
  </si>
  <si>
    <t xml:space="preserve">2023-09-14</t>
  </si>
  <si>
    <t xml:space="preserve">Cum se marineaza carnea și ce rol are vinul in acest proces?</t>
  </si>
  <si>
    <t xml:space="preserve">https://cramagirboiu.ro/blog/cum-se-marineaza-carnea-si-ce-rol-are-vinul-in-acest-proces/</t>
  </si>
  <si>
    <t xml:space="preserve">2023-10-18</t>
  </si>
  <si>
    <t xml:space="preserve">Etapele de prepare a vinului: sfaturi de la experți</t>
  </si>
  <si>
    <t xml:space="preserve">https://cramagirboiu.ro/blog/etapele-de-prepare-a-vinului-sfaturi-de-la-experti/</t>
  </si>
  <si>
    <t xml:space="preserve">2023-10-24</t>
  </si>
  <si>
    <t xml:space="preserve">Recolta 2023, de la Primavara ploioasa la Vara secetoasa</t>
  </si>
  <si>
    <t xml:space="preserve">https://cramagirboiu.ro/blog/recolta-2023-de-la-primavara-ploioasa-la-vara-secetoasa/</t>
  </si>
  <si>
    <t xml:space="preserve">2023-11-30</t>
  </si>
  <si>
    <t xml:space="preserve">Care sunt beneficiile dopului cu filet? Mitul vinului ieftin</t>
  </si>
  <si>
    <t xml:space="preserve">https://cramagirboiu.ro/blog/care-sunt-beneficiile-dopului-cu-filet-mitul-vinului-ieftin/</t>
  </si>
  <si>
    <t xml:space="preserve">2023-11-29</t>
  </si>
  <si>
    <t xml:space="preserve">Ce vin este potrivit pentru paste? 5 recomandări</t>
  </si>
  <si>
    <t xml:space="preserve">https://cramagirboiu.ro/blog/ce-vin-este-potrivit-pentru-paste-5-recomandari/</t>
  </si>
  <si>
    <t xml:space="preserve">2023-11-22</t>
  </si>
  <si>
    <t xml:space="preserve">Cum asociem vinurile cu branzeturile</t>
  </si>
  <si>
    <t xml:space="preserve">https://cramagirboiu.ro/blog/cum-asociem-vinurile-cu-branzeturi/</t>
  </si>
  <si>
    <t xml:space="preserve">2023-11-06</t>
  </si>
  <si>
    <t xml:space="preserve">Cum se decantează vinul roșu, alb sau rose – Ghid pentru aerarea vinului</t>
  </si>
  <si>
    <t xml:space="preserve">https://cramagirboiu.ro/blog/aerarea-vinului-ce-este-si-cum-se-realizeaza/</t>
  </si>
  <si>
    <t xml:space="preserve">2023-11-10</t>
  </si>
  <si>
    <t xml:space="preserve">Maturarea vinului: ce este și cum se realizează?</t>
  </si>
  <si>
    <t xml:space="preserve">https://cramagirboiu.ro/blog/maturarea-vinului-ce-este-si-cum-se-realizeaza/</t>
  </si>
  <si>
    <t xml:space="preserve">2023-12-08</t>
  </si>
  <si>
    <t xml:space="preserve">Bucurie în pahar: Ghidul vinurilor pentru sărbători fericite</t>
  </si>
  <si>
    <t xml:space="preserve">https://cramagirboiu.ro/blog/bucuria-in-pahar-ghidul-vinurilor-pentru-sarbatori-fericite/</t>
  </si>
  <si>
    <t xml:space="preserve">2023-12-13</t>
  </si>
  <si>
    <t xml:space="preserve">Ce este Prosecco? Descopera bulele plăcerii</t>
  </si>
  <si>
    <t xml:space="preserve">https://cramagirboiu.ro/blog/ce-este-prosecco/</t>
  </si>
  <si>
    <t xml:space="preserve">2023-12-03</t>
  </si>
  <si>
    <t xml:space="preserve">Ce este RetuRo? Ce platim si cum ne recuperam banii?</t>
  </si>
  <si>
    <t xml:space="preserve">https://cramagirboiu.ro/blog/ce-este-returo-ce-platim-si-cum-ne-recuperam-banii/</t>
  </si>
  <si>
    <t xml:space="preserve">2023-12-19</t>
  </si>
  <si>
    <t xml:space="preserve">Cele mai potrivite vinuri pentru o friptură savuroasă</t>
  </si>
  <si>
    <t xml:space="preserve">https://cramagirboiu.ro/blog/cele-mai-potrivite-vinuri-pentru-friptura/</t>
  </si>
  <si>
    <t xml:space="preserve">2023-12-29</t>
  </si>
  <si>
    <t xml:space="preserve">De la vie la pahar: Drumul strugurilor către cele mai bune vinuri</t>
  </si>
  <si>
    <t xml:space="preserve">https://cramagirboiu.ro/blog/de-la-vie-la-pahar-drumul-strugurilor-catre-cele-mai-bune-vinuri/</t>
  </si>
  <si>
    <t xml:space="preserve">2023-12-27</t>
  </si>
  <si>
    <t xml:space="preserve">Strălucirea Revelionului: Ghidul vinurilor spumante pentru o noapte plină de bucurie</t>
  </si>
  <si>
    <t xml:space="preserve">https://cramagirboiu.ro/blog/vinuri-spumante-pentru-revelion-ghidul-cramei-girboiu/</t>
  </si>
  <si>
    <t xml:space="preserve">2023-12-06</t>
  </si>
  <si>
    <t xml:space="preserve">Vinuri pentru ocazii speciale: Cum alegi cea mai potrivită sticlă</t>
  </si>
  <si>
    <t xml:space="preserve">https://cramagirboiu.ro/blog/vinuri-pentru-ocazii-speciale-cum-alegi-cea-mai-potrivita-sticla/</t>
  </si>
  <si>
    <t xml:space="preserve">2024-01-11</t>
  </si>
  <si>
    <t xml:space="preserve">Cele Mai Bune Soiuri de Struguri pentru Vinul Roșu</t>
  </si>
  <si>
    <t xml:space="preserve">https://cramagirboiu.ro/blog/cele-mai-bune-soiuri-de-struguri-pentru-vinul-rosu/</t>
  </si>
  <si>
    <t xml:space="preserve">2024-01-17</t>
  </si>
  <si>
    <t xml:space="preserve">Cele mai importante momente din Cronologia anului 2023</t>
  </si>
  <si>
    <t xml:space="preserve">https://cramagirboiu.ro/blog/cele-mai-importante-momente-din-cronologia-anului-2023/</t>
  </si>
  <si>
    <t xml:space="preserve">2024-01-26</t>
  </si>
  <si>
    <t xml:space="preserve">Pas cu Pas în Universul Vinurilor Rosii: Culoare, Aroma si Gust</t>
  </si>
  <si>
    <t xml:space="preserve">https://cramagirboiu.ro/blog/pas-cu-pas-in-universul-vinurilor-rosii-culoare-aroma-si-gust/</t>
  </si>
  <si>
    <t xml:space="preserve">2024-01-22</t>
  </si>
  <si>
    <t xml:space="preserve">În spatele culiselor: Procesul de producție al vinurilor noastre premiate</t>
  </si>
  <si>
    <t xml:space="preserve">https://cramagirboiu.ro/blog/in-spatele-culiselor-procesul-de-productie-al-vinurilor-noastre-premiate/</t>
  </si>
  <si>
    <t xml:space="preserve">2024-02-08</t>
  </si>
  <si>
    <t xml:space="preserve">5 cele mai bune vinuri românești pe care să le savurezi în 2024</t>
  </si>
  <si>
    <t xml:space="preserve">https://cramagirboiu.ro/blog/5-cele-mai-bune-vinuri-romanesti-pe-care-sa-le-savurezi-in-2024/</t>
  </si>
  <si>
    <t xml:space="preserve">2024-02-27</t>
  </si>
  <si>
    <t xml:space="preserve">Crama Girboiu BEST PRODUCER 2 ANI LA RAND la Mundus Vini, Germania</t>
  </si>
  <si>
    <t xml:space="preserve">https://cramagirboiu.ro/blog/best-producer-doi-ani-la-rand/</t>
  </si>
  <si>
    <t xml:space="preserve">2024-02-01</t>
  </si>
  <si>
    <t xml:space="preserve">Cum alegi vinul potrivit pentru o cină romantică?</t>
  </si>
  <si>
    <t xml:space="preserve">https://cramagirboiu.ro/blog/cum-alegi-vinul-potrivit-pentru-o-cina-romantica/</t>
  </si>
  <si>
    <t xml:space="preserve">2024-02-23</t>
  </si>
  <si>
    <t xml:space="preserve">Călătorind prin podgoriile noastre: Povestea vinurilor de la Crama Gîrboiu</t>
  </si>
  <si>
    <t xml:space="preserve">https://cramagirboiu.ro/blog/calatorind-prin-podgoriile-noastre-povestea-vinurilor-de-la-crama-girboiu/</t>
  </si>
  <si>
    <t xml:space="preserve">2024-02-14</t>
  </si>
  <si>
    <t xml:space="preserve">Depozitarea vinului: cum să păstrezi buchetul și aromele intacte?</t>
  </si>
  <si>
    <t xml:space="preserve">https://cramagirboiu.ro/blog/depozitarea-vinului-cum-sa-pastrezi-buchetul-si-aromele-intacte/</t>
  </si>
  <si>
    <t xml:space="preserve">2024-02-19</t>
  </si>
  <si>
    <t xml:space="preserve">Vin bun și ieftin: Ce să alegi pentru nunta ta în 2024?</t>
  </si>
  <si>
    <t xml:space="preserve">https://cramagirboiu.ro/blog/vinuri-bune-si-ieftine-ce-sa-alegi-pentru-nunta-ta-in-2024/</t>
  </si>
  <si>
    <t xml:space="preserve">2024-03-15</t>
  </si>
  <si>
    <t xml:space="preserve">Beneficiile pentru sănătate ale consumului moderat de vin roșu</t>
  </si>
  <si>
    <t xml:space="preserve">https://cramagirboiu.ro/blog/beneficiile-pentru-sanatate-ale-consumului-moderat-de-vin-rosu/</t>
  </si>
  <si>
    <t xml:space="preserve">2024-03-22</t>
  </si>
  <si>
    <t xml:space="preserve">Ce este și ce face un somelier?</t>
  </si>
  <si>
    <t xml:space="preserve">https://cramagirboiu.ro/blog/ce-este-si-ce-face-un-somelier/</t>
  </si>
  <si>
    <t xml:space="preserve">2024-03-30</t>
  </si>
  <si>
    <t xml:space="preserve">Marea Medalie de Aur pentru Bacanta Traminer Roz</t>
  </si>
  <si>
    <t xml:space="preserve">https://cramagirboiu.ro/blog/marea-medalie-de-aur-pentru-bacanta-traminer-roz/</t>
  </si>
  <si>
    <t xml:space="preserve">2024-03-12</t>
  </si>
  <si>
    <t xml:space="preserve">Rețetă de friptură de miel: ce vin folosești?</t>
  </si>
  <si>
    <t xml:space="preserve">https://cramagirboiu.ro/blog/reteta-de-friptura-de-miel-ce-vin-folosesti/</t>
  </si>
  <si>
    <t xml:space="preserve">2024-03-29</t>
  </si>
  <si>
    <t xml:space="preserve">Rosé în creștere: tendințe actuale și inovații în lumea vinurilor roz</t>
  </si>
  <si>
    <t xml:space="preserve">https://cramagirboiu.ro/blog/vinul-rose-tendinte-actuale/</t>
  </si>
  <si>
    <t xml:space="preserve">2024-03-27</t>
  </si>
  <si>
    <t xml:space="preserve">Vin și gastronomie: cum se potrivesc vinurile cu mâncărurile exotice?</t>
  </si>
  <si>
    <t xml:space="preserve">https://cramagirboiu.ro/blog/cum-se-potrivesc-vinurile-cu-mancarurile-exotice/</t>
  </si>
  <si>
    <t xml:space="preserve">2024-03-25</t>
  </si>
  <si>
    <t xml:space="preserve">Vinul ca aromă: cât de mult contează tipul de pahar în percepția aromei?</t>
  </si>
  <si>
    <t xml:space="preserve">https://cramagirboiu.ro/blog/cat-de-mult-conteaza-tipul-de-pahar-in-perceptia-aromei-vinului/</t>
  </si>
  <si>
    <t xml:space="preserve">2024-04-28</t>
  </si>
  <si>
    <t xml:space="preserve">CU CE PREPARATE ASOCIEM VINURILE DE DESERT?</t>
  </si>
  <si>
    <t xml:space="preserve">https://cramagirboiu.ro/blog/cu-ce-preparate-asociem-vinurile-de-desert/</t>
  </si>
  <si>
    <t xml:space="preserve">2024-04-08</t>
  </si>
  <si>
    <t xml:space="preserve">Care sunt cele mai apreciate vinuri albe care se potrivesc cu orice ocazie?</t>
  </si>
  <si>
    <t xml:space="preserve">https://cramagirboiu.ro/blog/cele-mai-apreciate-vinuri-albe-pentru-orice-ocazie/</t>
  </si>
  <si>
    <t xml:space="preserve">2024-04-10</t>
  </si>
  <si>
    <t xml:space="preserve">Fermentare fără frontiere: vinurile orange și tehnica lor specială</t>
  </si>
  <si>
    <t xml:space="preserve">https://cramagirboiu.ro/blog/ce-sunt-vinurile-orange-tehnica-asociere-degustare/</t>
  </si>
  <si>
    <t xml:space="preserve">2024-04-17</t>
  </si>
  <si>
    <t xml:space="preserve">Gustă și descoperă: Gîrboiu și promovarea vinurilor regionale</t>
  </si>
  <si>
    <t xml:space="preserve">https://cramagirboiu.ro/blog/girboiu-si-promovarea-vinurilor-regionale/</t>
  </si>
  <si>
    <t xml:space="preserve">2024-04-22</t>
  </si>
  <si>
    <t xml:space="preserve">Recomandări pentru masa de Paște a familiei: Vinuri Cadou si Asociere culinara</t>
  </si>
  <si>
    <t xml:space="preserve">https://cramagirboiu.ro/blog/vinuri-recomandate-pentru-masa-de-paste-vinuri-cadou-asociere-culinara/</t>
  </si>
  <si>
    <t xml:space="preserve">2024-04-16</t>
  </si>
  <si>
    <t xml:space="preserve">Vinuri albe rare: descoperirea unor soiuri de struguri unice și a aromelor acestora</t>
  </si>
  <si>
    <t xml:space="preserve">https://cramagirboiu.ro/blog/vinuri-albe-rare-soiuri-unice-arome/</t>
  </si>
  <si>
    <t xml:space="preserve">2024-12-29</t>
  </si>
  <si>
    <t xml:space="preserve">Ce vin se potrivește cu friptura? Ghid complet pentru fiecare tip de carne</t>
  </si>
  <si>
    <t xml:space="preserve">https://cramagirboiu.ro/blog/ce-vin-merge-la-friptura/</t>
  </si>
  <si>
    <t xml:space="preserve">2024-12-19</t>
  </si>
  <si>
    <t xml:space="preserve">Cozonacul – povestea celui mai iubit desert românesc</t>
  </si>
  <si>
    <t xml:space="preserve">https://cramagirboiu.ro/blog/reteta-cozonac-traditional-ghid-de-sarbatori/</t>
  </si>
  <si>
    <t xml:space="preserve">2024-12-03</t>
  </si>
  <si>
    <t xml:space="preserve">Vinuri Emblematice Românești din soiuri autohtone</t>
  </si>
  <si>
    <t xml:space="preserve">https://cramagirboiu.ro/blog/vinuri-emblematice-romanesti-soiuri-autohtone/</t>
  </si>
  <si>
    <t xml:space="preserve">2025-02-16</t>
  </si>
  <si>
    <t xml:space="preserve">Alegerea Cadoului Perfect de 8 Martie: Cele Mai Rafinate Vinuri pentru Femeile Speciale din Viața Ta</t>
  </si>
  <si>
    <t xml:space="preserve">https://cramagirboiu.ro/blog/alegerea-cadoului-perfect-8-martie-cele-mai-rafinate-vinuri/</t>
  </si>
  <si>
    <t xml:space="preserve">Dragobete – Iubirea Românească și un Pahar de Vin Bun</t>
  </si>
  <si>
    <t xml:space="preserve">https://cramagirboiu.ro/blog/dragobete-iubirea-romaneasca-vin-bun/</t>
  </si>
  <si>
    <t xml:space="preserve">2025-02-17</t>
  </si>
  <si>
    <t xml:space="preserve">Recomandări de vinuri în sezonul rece – Alegerea perfectă pentru zilele friguroase</t>
  </si>
  <si>
    <t xml:space="preserve">https://cramagirboiu.ro/blog/recomandari-vinuri-sezonul-rece/</t>
  </si>
  <si>
    <t xml:space="preserve">Veganismul și Vinul: O Relație În Evoluție</t>
  </si>
  <si>
    <t xml:space="preserve">https://cramagirboiu.ro/blog/veganismul-si-vinul-relatie-evolutie-crama-girboiu/</t>
  </si>
  <si>
    <t xml:space="preserve">Vinul Rosé – Vestitor al primăverii și simbol al feminității</t>
  </si>
  <si>
    <t xml:space="preserve">https://cramagirboiu.ro/blog/vine-rose-vestitor-al-primaverii/</t>
  </si>
  <si>
    <t xml:space="preserve">2025-02-09</t>
  </si>
  <si>
    <t xml:space="preserve">Vinul si Iubirea</t>
  </si>
  <si>
    <t xml:space="preserve">https://cramagirboiu.ro/blog/vinul-si-iubirea/</t>
  </si>
  <si>
    <t xml:space="preserve">Vinurile roșii și asocierile culinare neconvenționale – Ghid pentru generația Millennials</t>
  </si>
  <si>
    <t xml:space="preserve">https://cramagirboiu.ro/blog/vinuri-rosii-asocieri-culinare-millennials/</t>
  </si>
  <si>
    <t xml:space="preserve">2025-03-23</t>
  </si>
  <si>
    <t xml:space="preserve">Brunch cu vin – 3 idei de pairing pentru un weekend perfect</t>
  </si>
  <si>
    <t xml:space="preserve">https://cramagirboiu.ro/blog/brunch-cu-vin-idei-pairing-weekend/</t>
  </si>
  <si>
    <t xml:space="preserve">2025-03-05</t>
  </si>
  <si>
    <t xml:space="preserve">CRAMA GÎRBOIU – CEL MAI BUN PRODUCĂTOR DE VIN DIN ROMÂNIA, PENTRU AL TREILEA AN CONSECUTIV</t>
  </si>
  <si>
    <t xml:space="preserve">https://cramagirboiu.ro/blog/crama-girboiu-cel-mai-bun-producator-de-vin-din-romania-pentru-al-treilea-an-consecutiv/</t>
  </si>
  <si>
    <t xml:space="preserve">2025-03-01</t>
  </si>
  <si>
    <t xml:space="preserve">Feteasca Neagră – Brand ambasador pentru România</t>
  </si>
  <si>
    <t xml:space="preserve">Sponsorship / partnership</t>
  </si>
  <si>
    <t xml:space="preserve">https://cramagirboiu.ro/blog/feteasca-neagra-brand-ambasador-romania/</t>
  </si>
  <si>
    <t xml:space="preserve">2025-03-04</t>
  </si>
  <si>
    <t xml:space="preserve">Galbenă de Odobești – ghid complet despre unul dintre cele mai vechi soiuri românești</t>
  </si>
  <si>
    <t xml:space="preserve">https://cramagirboiu.ro/blog/galbena-de-odobesti/</t>
  </si>
  <si>
    <t xml:space="preserve">2025-03-24</t>
  </si>
  <si>
    <t xml:space="preserve">Rețete cu miel și vinuri pentru masa de Paște</t>
  </si>
  <si>
    <t xml:space="preserve">https://cramagirboiu.ro/blog/retete-cu-miel-si-vinuri-de-paste/</t>
  </si>
  <si>
    <t xml:space="preserve">Top 5 vinuri românești sub 50 lei – calitate premium la preț accesibil</t>
  </si>
  <si>
    <t xml:space="preserve">https://cramagirboiu.ro/blog/top-5-vinuri-romanesti-sub-50-lei/</t>
  </si>
  <si>
    <t xml:space="preserve">2025-03-31</t>
  </si>
  <si>
    <t xml:space="preserve">Vin din struguri înghețați – Eiswein/Icewine sau „vinul de gheață”</t>
  </si>
  <si>
    <t xml:space="preserve">https://cramagirboiu.ro/blog/vin-din-struguri-inghetati/</t>
  </si>
  <si>
    <t xml:space="preserve">2025-03-30</t>
  </si>
  <si>
    <t xml:space="preserve">Vinuri de vinotecă – cadoul ideal pentru Paște</t>
  </si>
  <si>
    <t xml:space="preserve">https://cramagirboiu.ro/blog/vinuri-de-vinoteca-cadou-paste/</t>
  </si>
  <si>
    <t xml:space="preserve">Vinuri spumante pentru primăvară: cum le alegi, servești și asociezi perfect</t>
  </si>
  <si>
    <t xml:space="preserve">https://cramagirboiu.ro/blog/vinuri-spumante-primavara-ghid-de-selectie/</t>
  </si>
  <si>
    <t xml:space="preserve">2025-04-29</t>
  </si>
  <si>
    <t xml:space="preserve">Cum să citești corect eticheta unui vin? Ghid pentru începători</t>
  </si>
  <si>
    <t xml:space="preserve">https://cramagirboiu.ro/blog/cum-se-citeste-eticheta-unui-vin/</t>
  </si>
  <si>
    <t xml:space="preserve">2025-04-01</t>
  </si>
  <si>
    <t xml:space="preserve">Drob de miel: gustul Paștelui românesc, între tradiție și reinventare</t>
  </si>
  <si>
    <t xml:space="preserve">https://cramagirboiu.ro/blog/drob-de-miel-reteta-traditionala-paste/</t>
  </si>
  <si>
    <t xml:space="preserve">Ied la ceaun – rețetă tradițională cu savoare românească și vinuri care desăvârșesc gustul</t>
  </si>
  <si>
    <t xml:space="preserve">https://cramagirboiu.ro/blog/ied-la-ceaun-reteta-traditionala-vinuri-romanesti/</t>
  </si>
  <si>
    <t xml:space="preserve">Pasca cu branza – Rețetă Autentică Pas cu Pas si vinuri dulci pentru masa de Paste</t>
  </si>
  <si>
    <t xml:space="preserve">https://cramagirboiu.ro/blog/pasca-cu-branza-reteta-vinuri-dulci/</t>
  </si>
  <si>
    <t xml:space="preserve">Pulpa de miel la cuptor – rețetă, marinare și pairing cu vin</t>
  </si>
  <si>
    <t xml:space="preserve">https://cramagirboiu.ro/blog/pulpa-de-miel-la-cuptor-reteta-si-vinuri/</t>
  </si>
  <si>
    <t xml:space="preserve">Retrospectiva Anului 2024 la Crama Girboiu: Performanțe, Tradiție și Inovație</t>
  </si>
  <si>
    <t xml:space="preserve">https://cramagirboiu.ro/blog/retrospectiva-anului-2024-la-crama-girboiu/</t>
  </si>
  <si>
    <t xml:space="preserve">2025-04-06</t>
  </si>
  <si>
    <t xml:space="preserve">Vinul fără alcool? Gustul vinului, fără compromisuri</t>
  </si>
  <si>
    <t xml:space="preserve">https://cramagirboiu.ro/blog/vinul-fara-alcool-tehnologie-beneficii/</t>
  </si>
  <si>
    <t xml:space="preserve">2025-04-12</t>
  </si>
  <si>
    <t xml:space="preserve">Vița-de-vie în Europa: o călătorie prin istorie, criză și renaștere</t>
  </si>
  <si>
    <t xml:space="preserve">https://cramagirboiu.ro/blog/istoria-vitei-de-vie-in-europa/</t>
  </si>
  <si>
    <t xml:space="preserve">2025-05-12</t>
  </si>
  <si>
    <t xml:space="preserve">Cuartz Lungo: Primul Spumant Românesc Charmat Lungo – Descoperă Asocierile Perfecte</t>
  </si>
  <si>
    <t xml:space="preserve">https://cramagirboiu.ro/blog/cuartz-lungo-spumant-romanesc-charmat-lungo/</t>
  </si>
  <si>
    <t xml:space="preserve">2025-05-23</t>
  </si>
  <si>
    <t xml:space="preserve">Ghidul complet al vinurilor spumante: metode, stiluri și cum să alegi ce ți se potrivește</t>
  </si>
  <si>
    <t xml:space="preserve">https://cramagirboiu.ro/blog/vinuri-spumante-tipuri-metode/</t>
  </si>
  <si>
    <t xml:space="preserve">2025-05-05</t>
  </si>
  <si>
    <t xml:space="preserve">Nunta perfectă la cramă: De ce să spui „DA” printre vii, vinuri și povești autentice</t>
  </si>
  <si>
    <t xml:space="preserve">https://cramagirboiu.ro/blog/nunta-la-crama-cum-organizezi-un-eveniment/</t>
  </si>
  <si>
    <t xml:space="preserve">2025-05-01</t>
  </si>
  <si>
    <t xml:space="preserve">Vinul biodinamic – între știință, natură și spiritualitate</t>
  </si>
  <si>
    <t xml:space="preserve">https://cramagirboiu.ro/blog/vin-biodinamic-beneficii-principii/</t>
  </si>
  <si>
    <t xml:space="preserve">Vinuri cu Peste 90 de Puncte: Cum Concursurile Internaționale ne ajută Alegerea la Raft</t>
  </si>
  <si>
    <t xml:space="preserve">https://cramagirboiu.ro/blog/vinuri-90-puncte-vinuri-premiate-romanesti/</t>
  </si>
  <si>
    <t xml:space="preserve">2025-06-30</t>
  </si>
  <si>
    <t xml:space="preserve">Bacanta Grand Gold la Concours Mondial de Bruxelles 2025: o medalie cât două decenii de excelență</t>
  </si>
  <si>
    <t xml:space="preserve">https://cramagirboiu.ro/blog/bacanta-chardonnay-2017-grand-gold/</t>
  </si>
  <si>
    <t xml:space="preserve">2025-06-04</t>
  </si>
  <si>
    <t xml:space="preserve">Ce vin se potrivește cel mai bine cu peștele? Ghid complet pentru asocieri reușite</t>
  </si>
  <si>
    <t xml:space="preserve">https://cramagirboiu.ro/blog/ce-vin-merge-la-peste-ghid-complet/</t>
  </si>
  <si>
    <t xml:space="preserve">2025-06-03</t>
  </si>
  <si>
    <t xml:space="preserve">Cele mai bune vinuri românești din 2025 – recomandări de la specialiști</t>
  </si>
  <si>
    <t xml:space="preserve">https://cramagirboiu.ro/blog/top-vinuri-romanesti-2025/</t>
  </si>
  <si>
    <t xml:space="preserve">2025-06-18</t>
  </si>
  <si>
    <t xml:space="preserve">Crama Gîrboiu cucerește Londra: Aur Decanter 2025 și Best Value pentru Tectonic Fetească Neagră Barrique</t>
  </si>
  <si>
    <t xml:space="preserve">2025-06-11</t>
  </si>
  <si>
    <t xml:space="preserve">Cum organizezi un grătar în aer liber: povestea unei zile perfecte</t>
  </si>
  <si>
    <t xml:space="preserve">https://cramagirboiu.ro/blog/gratar-in-aer-liber-ghid-cu-vinuri/</t>
  </si>
  <si>
    <t xml:space="preserve">2025-06-28</t>
  </si>
  <si>
    <t xml:space="preserve">Povestea pastelor și 4 rețete celebre care merită un vin pe măsură</t>
  </si>
  <si>
    <t xml:space="preserve">https://cramagirboiu.ro/blog/retete-paste-si-vinuri-crama-girboiu/</t>
  </si>
  <si>
    <t xml:space="preserve">2025-07-03</t>
  </si>
  <si>
    <t xml:space="preserve">Bordeaux, legenda vinului franțuzesc: istorie, clasificări și influență globală</t>
  </si>
  <si>
    <t xml:space="preserve">https://cramagirboiu.ro/blog/vinuri-bordeaux-ghid-complet/</t>
  </si>
  <si>
    <t xml:space="preserve">2025-07-04</t>
  </si>
  <si>
    <t xml:space="preserve">Brânzeturi românești și vinuri Crama Gîrboiu – ghidul complet pentru un platou autentic și savuros</t>
  </si>
  <si>
    <t xml:space="preserve">https://cramagirboiu.ro/blog/platou-branzeturi-romanesti-si-vin/</t>
  </si>
  <si>
    <t xml:space="preserve">2025-07-13</t>
  </si>
  <si>
    <t xml:space="preserve">Ce este vinul rosé? Povestea din spatele culorii</t>
  </si>
  <si>
    <t xml:space="preserve">https://cramagirboiu.ro/blog/tipuri-vin-rose-ghid-complet/</t>
  </si>
  <si>
    <t xml:space="preserve">2025-07-01</t>
  </si>
  <si>
    <t xml:space="preserve">Ce provoacă durerea de cap după vin? 3 Mituri demontate</t>
  </si>
  <si>
    <t xml:space="preserve">https://cramagirboiu.ro/blog/ce-provoaca-durerea-de-cap-dupa-vin-mituri-despre-vin/</t>
  </si>
  <si>
    <t xml:space="preserve">Cum recunoști un vin natural? Un ghid practic pentru curioșii autenticității</t>
  </si>
  <si>
    <t xml:space="preserve">https://cramagirboiu.ro/blog/cum-recunosti-vin-natural/</t>
  </si>
  <si>
    <t xml:space="preserve">2025-07-11</t>
  </si>
  <si>
    <t xml:space="preserve">Cum se face corect tăierea viței de vie? Ghid pentru viticultori la început de drum</t>
  </si>
  <si>
    <t xml:space="preserve">https://cramagirboiu.ro/blog/taierea-vitei-de-vie-ghid-viticultori/</t>
  </si>
  <si>
    <t xml:space="preserve">2025-07-26</t>
  </si>
  <si>
    <t xml:space="preserve">Originea și povestea Prosecco-ului: de la colinele italiene la spumantele românești Cuartz</t>
  </si>
  <si>
    <t xml:space="preserve">https://cramagirboiu.ro/blog/prosecco-vin-spumant-charmat-romania/</t>
  </si>
  <si>
    <t xml:space="preserve">2025-07-08</t>
  </si>
  <si>
    <t xml:space="preserve">Păstrăvul – un pește delicat, sănătos și ușor de integrat în bucătăria zilnică</t>
  </si>
  <si>
    <t xml:space="preserve">https://cramagirboiu.ro/blog/retete-cu-pastrav-beneficii/</t>
  </si>
  <si>
    <t xml:space="preserve">2025-07-25</t>
  </si>
  <si>
    <t xml:space="preserve">Tot ce trebuie să știi despre Chardonnay – stiluri, terroir, expresii românești</t>
  </si>
  <si>
    <t xml:space="preserve">https://cramagirboiu.ro/blog/chardonnay-totul-despre-soiul-legendar/</t>
  </si>
  <si>
    <t xml:space="preserve">2025-07-12</t>
  </si>
  <si>
    <t xml:space="preserve">Tot ce trebuie să știi despre Sauvignon Blanc</t>
  </si>
  <si>
    <t xml:space="preserve">https://cramagirboiu.ro/blog/sauvignon-blanc-ghid-complet/</t>
  </si>
  <si>
    <t xml:space="preserve">Vin fără sulfiți: mit sau realitate?</t>
  </si>
  <si>
    <t xml:space="preserve">https://cramagirboiu.ro/blog/vin-fara-sulfiti-mit-sau-realitate/</t>
  </si>
  <si>
    <t xml:space="preserve">2025-07-10</t>
  </si>
  <si>
    <t xml:space="preserve">Vin vegan: 4 mituri și ce trebuie să știi înainte să alegi</t>
  </si>
  <si>
    <t xml:space="preserve">https://cramagirboiu.ro/blog/vin-vegan-mituri-si-adevaruri-despre-vin-vegan/</t>
  </si>
  <si>
    <t xml:space="preserve">Vinul nu devine automat mai bun odată cu trecerea timpului – ce trebuie să știi despre maturarea vinului</t>
  </si>
  <si>
    <t xml:space="preserve">https://cramagirboiu.ro/blog/maturarea-vinului-conditii-de-pastrare/</t>
  </si>
  <si>
    <t xml:space="preserve">2025-08-04</t>
  </si>
  <si>
    <t xml:space="preserve">Batonajul – Secretul vinurilor catifelate</t>
  </si>
  <si>
    <t xml:space="preserve">https://cramagirboiu.ro/blog/batonaj-vinificatie-sur-lie/</t>
  </si>
  <si>
    <t xml:space="preserve">2025-08-10</t>
  </si>
  <si>
    <t xml:space="preserve">Care este diferența dintre vinurile din Lumea Veche și Lumea Nouă?</t>
  </si>
  <si>
    <t xml:space="preserve">https://cramagirboiu.ro/blog/diferenta-vinuri-lumea-veche-lumea-noua/</t>
  </si>
  <si>
    <t xml:space="preserve">Ce înseamnă DOC, DOCG, IGP, AOP? O călătorie prin clasificările vinurilor din lume</t>
  </si>
  <si>
    <t xml:space="preserve">https://cramagirboiu.ro/blog/ce-inseamna-doc-igp-aoc-clasificarea-vinurilor/</t>
  </si>
  <si>
    <t xml:space="preserve">2025-08-11</t>
  </si>
  <si>
    <t xml:space="preserve">Coq au Vin – Povestea franțuzească în care vinul face legea</t>
  </si>
  <si>
    <t xml:space="preserve">https://cramagirboiu.ro/blog/coq-au-vin-crama-girboiu/</t>
  </si>
  <si>
    <t xml:space="preserve">2025-08-12</t>
  </si>
  <si>
    <t xml:space="preserve">Culesul manual vs. mecanizat – avantaje și dezavantaje</t>
  </si>
  <si>
    <t xml:space="preserve">https://cramagirboiu.ro/blog/culesul-manual-vs-mecanizat-avantaje-si-dezavantaje-culesul-manual/</t>
  </si>
  <si>
    <t xml:space="preserve">2025-08-29</t>
  </si>
  <si>
    <t xml:space="preserve">Cum ia naștere un vin roșu de calitate – ghid complet</t>
  </si>
  <si>
    <t xml:space="preserve">https://cramagirboiu.ro/blog/cum-ia-nastere-un-vin-rosu/</t>
  </si>
  <si>
    <t xml:space="preserve">2025-08-20</t>
  </si>
  <si>
    <t xml:space="preserve">Defectele vinului și cum le identificăm</t>
  </si>
  <si>
    <t xml:space="preserve">https://cramagirboiu.ro/blog/ghid-practic-defectele-vinului/</t>
  </si>
  <si>
    <t xml:space="preserve">2025-08-03</t>
  </si>
  <si>
    <t xml:space="preserve">Paste cu fructe de mare: rețetă italiană, sfaturi de preparare și asociere cu vin</t>
  </si>
  <si>
    <t xml:space="preserve">https://cramagirboiu.ro/blog/paste-cu-fructe-de-mare-retete-si-sfaturi/</t>
  </si>
  <si>
    <t xml:space="preserve">2025-08-27</t>
  </si>
  <si>
    <t xml:space="preserve">Tot ce trebuie să știi despre Syrah – povestea unui vin intens și fascinant</t>
  </si>
  <si>
    <t xml:space="preserve">https://cramagirboiu.ro/blog/tot-ce-trebuie-sa-stii-despre-syrah/</t>
  </si>
  <si>
    <t xml:space="preserve">2025-08-21</t>
  </si>
  <si>
    <t xml:space="preserve">Vin licoros sau vin dulce? Descoperă tehnica fascinanta a vinurilor licoroase</t>
  </si>
  <si>
    <t xml:space="preserve">https://cramagirboiu.ro/blog/vin-licoros-sau-vin-dulce/</t>
  </si>
  <si>
    <t xml:space="preserve">2025-11-03</t>
  </si>
  <si>
    <t xml:space="preserve">Vinul – ingredientul care dă suflet preparatelor românești</t>
  </si>
  <si>
    <t xml:space="preserve">https://cramagirboiu.ro/blog/retete-romanesti-cu-vin/</t>
  </si>
  <si>
    <t xml:space="preserve">2025-12-16</t>
  </si>
  <si>
    <t xml:space="preserve">Friptura de porc și preparatele tradiționale: ghidul esențial pentru masa de Crăciun</t>
  </si>
  <si>
    <t xml:space="preserve">https://cramagirboiu.ro/blog/friptura-de-porc-preparate-traditionale-craciun/</t>
  </si>
  <si>
    <t xml:space="preserve">2025-12-02</t>
  </si>
  <si>
    <t xml:space="preserve">Ghidul Vinurilor pentru Crăciun și Revelion 2025: Recomandări, Cadouri și Selecții Premium de la Crama Girboiu</t>
  </si>
  <si>
    <t xml:space="preserve">https://cramagirboiu.ro/blog/vinuri-craciun-revelion-ghid-2025/</t>
  </si>
  <si>
    <t xml:space="preserve">2026-01-31</t>
  </si>
  <si>
    <t xml:space="preserve">Vin pentru începători – ghid complet ca să înțelegi vinul în pahar</t>
  </si>
  <si>
    <t xml:space="preserve">https://cramagirboiu.ro/blog/vin-pentru-incepatori-ghid/</t>
  </si>
  <si>
    <t xml:space="preserve">2026-01-25</t>
  </si>
  <si>
    <t xml:space="preserve">Vinul în sezonul rece – cum iarna ne schimbă gusturile, ritualurile și relația cu vinul</t>
  </si>
  <si>
    <t xml:space="preserve">https://cramagirboiu.ro/blog/vinul-iarna-sezonul-rece/</t>
  </si>
  <si>
    <t xml:space="preserve">Vinurile spumante – bucuria care nu ține cont de sezon</t>
  </si>
  <si>
    <t xml:space="preserve">https://cramagirboiu.ro/blog/vin-spumant-iarna/</t>
  </si>
  <si>
    <t xml:space="preserve">2026-03-16</t>
  </si>
  <si>
    <t xml:space="preserve">10 greșeli pe care le fac oamenii când beau vin</t>
  </si>
  <si>
    <t xml:space="preserve">https://cramagirboiu.ro/blog/greseli-cand-bem-vin/</t>
  </si>
  <si>
    <t xml:space="preserve">2026-03-02</t>
  </si>
  <si>
    <t xml:space="preserve">BEST ROMANIAN PRODUCER – 4 ani consecutivi</t>
  </si>
  <si>
    <t xml:space="preserve">https://cramagirboiu.ro/blog/best-romanian-producer-4-ani-mundus-vini/</t>
  </si>
  <si>
    <t xml:space="preserve">2026-03-19</t>
  </si>
  <si>
    <t xml:space="preserve">Cum alegi un vin bun în restaurant</t>
  </si>
  <si>
    <t xml:space="preserve">https://cramagirboiu.ro/blog/cum-alegi-un-vin-bun-in-restaurant/</t>
  </si>
  <si>
    <t xml:space="preserve">2026-03-31</t>
  </si>
  <si>
    <t xml:space="preserve">Rețetă creveți în sos de vin la tigaie – Preparare simplă, rezultat delicios</t>
  </si>
  <si>
    <t xml:space="preserve">https://cramagirboiu.ro/blog/reteta-creveti-in-sos-de-vin/</t>
  </si>
  <si>
    <t xml:space="preserve">2026-03-12</t>
  </si>
  <si>
    <t xml:space="preserve">Rolul baricului în realizarea vinurilor de calitate</t>
  </si>
  <si>
    <t xml:space="preserve">https://cramagirboiu.ro/blog/maturare-in-baric/</t>
  </si>
  <si>
    <t xml:space="preserve">Terroir: sufletul vinului și identitatea fiecărui pahar</t>
  </si>
  <si>
    <t xml:space="preserve">https://cramagirboiu.ro/blog/ce-este-terroir-vin/</t>
  </si>
  <si>
    <t xml:space="preserve">Șarba – un soi românesc cu o identitate aromatică unică</t>
  </si>
  <si>
    <t xml:space="preserve">https://cramagirboiu.ro/blog/soiul-sarba/</t>
  </si>
  <si>
    <t xml:space="preserve">2026-04-27</t>
  </si>
  <si>
    <t xml:space="preserve">Rețetă de mici (mititei) de casă – secretele micilor tradiționali românești</t>
  </si>
  <si>
    <t xml:space="preserve">https://cramagirboiu.ro/blog/reteta-mici-mititei-traditionali/</t>
  </si>
  <si>
    <t xml:space="preserve">2026-04-29</t>
  </si>
  <si>
    <t xml:space="preserve">Tectonic Galbenă de Odobești: un nou început pentru un soi care merită redescoperit</t>
  </si>
  <si>
    <t xml:space="preserve">https://cramagirboiu.ro/blog/tectonic-galbena-de-odobesti-crama-girboiu/</t>
  </si>
  <si>
    <t xml:space="preserve">2026-05-27</t>
  </si>
  <si>
    <t xml:space="preserve">Cum alegi și gătești carne de vită perfectă – rase, bucăți, rețete și sfaturi utile</t>
  </si>
  <si>
    <t xml:space="preserve">https://cramagirboiu.ro/blog/carne-de-vita-ghid-complet/</t>
  </si>
  <si>
    <t xml:space="preserve">2026-05-01</t>
  </si>
  <si>
    <t xml:space="preserve">Socată rețetă – băutura tradițională de vară, revigorantă și aromată</t>
  </si>
  <si>
    <t xml:space="preserve">https://cramagirboiu.ro/blog/socata-reteta-traditionala-bautura-racoritoare/</t>
  </si>
  <si>
    <t xml:space="preserve">2026-06-03</t>
  </si>
  <si>
    <t xml:space="preserve">Bacanta Orange: atunci când tradiția întâlnește inovația</t>
  </si>
  <si>
    <t xml:space="preserve">https://cramagirboiu.ro/blog/povestea-bacanta-orange-wine/</t>
  </si>
  <si>
    <t xml:space="preserve">2026-06-12</t>
  </si>
  <si>
    <t xml:space="preserve">Cabernet Sauvignon – ghid complet despre regele vinurilor roșii</t>
  </si>
  <si>
    <t xml:space="preserve">https://cramagirboiu.ro/blog/cabernet-sauvignon/</t>
  </si>
  <si>
    <t xml:space="preserve">2026-06-07</t>
  </si>
  <si>
    <t xml:space="preserve">Cele mai bune vinuri spumante românești sub 50 lei</t>
  </si>
  <si>
    <t xml:space="preserve">https://cramagirboiu.ro/blog/cele-mai-bune-vinuri-spumante-romanesti-sub-50-lei/</t>
  </si>
  <si>
    <t xml:space="preserve">2026-06-17</t>
  </si>
  <si>
    <t xml:space="preserve">Cocktailuri cu vin pentru vară – rețete răcoritoare cu vin alb, rosé și spumant</t>
  </si>
  <si>
    <t xml:space="preserve">https://cramagirboiu.ro/blog/cocktailuri-cu-vin-pentru-vara/</t>
  </si>
  <si>
    <t xml:space="preserve">2026-06-08</t>
  </si>
  <si>
    <t xml:space="preserve">Fermentația malolactică – secretul din spatele vinurilor catifelate</t>
  </si>
  <si>
    <t xml:space="preserve">https://cramagirboiu.ro/blog/ce-este-fermentatia-malolactica/</t>
  </si>
  <si>
    <t xml:space="preserve">2026-07-26</t>
  </si>
  <si>
    <t xml:space="preserve">Când se culeg strugurii pentru vin? Cum se stabilește momentul optim</t>
  </si>
  <si>
    <t xml:space="preserve">https://cramagirboiu.ro/blog/cand-se-culeg-strugurii-pentru-vin/</t>
  </si>
  <si>
    <t xml:space="preserve">2026-07-23</t>
  </si>
  <si>
    <t xml:space="preserve">Cât rezistă vinul după deschidere?</t>
  </si>
  <si>
    <t xml:space="preserve">https://cramagirboiu.ro/blog/cat-rezista-vinul-dupa-deschidere/</t>
  </si>
  <si>
    <t xml:space="preserve">2026-07-24</t>
  </si>
  <si>
    <t xml:space="preserve">Cât vin cumperi pentru un eveniment? Ghid complet pentru nunți, petreceri și cine festive</t>
  </si>
  <si>
    <t xml:space="preserve">https://cramagirboiu.ro/blog/cat-vin-cumperi-pentru-un-eveniment/</t>
  </si>
  <si>
    <t xml:space="preserve">2026-07-05</t>
  </si>
  <si>
    <t xml:space="preserve">Ghid complet pentru un picnic reușit – idei, mâncare, organizare și vinuri</t>
  </si>
  <si>
    <t xml:space="preserve">https://cramagirboiu.ro/blog/picnic-perfect-ghid-complet/</t>
  </si>
  <si>
    <t xml:space="preserve">2026-07-28</t>
  </si>
  <si>
    <t xml:space="preserve">Sarmale în foi de viță – tradiția care celebrează renașterea viței de vie la Cotești</t>
  </si>
  <si>
    <t xml:space="preserve">https://cramagirboiu.ro/blog/sarmale-in-foi-de-vita-reteta-traditionala/</t>
  </si>
  <si>
    <t xml:space="preserve">2023-02-19</t>
  </si>
  <si>
    <t xml:space="preserve">Cramele Recaș: partener principal al Timișoarei - Capitala Europeană a Culturii în 2023</t>
  </si>
  <si>
    <t xml:space="preserve">IQads (Romanian marketing press)</t>
  </si>
  <si>
    <t xml:space="preserve">https://www.iqads.ro/articol/63200/cramele-recas-partener-principal-al-timisoarei-capitala-europeana-a-culturii-in</t>
  </si>
  <si>
    <t xml:space="preserve">2021-04-29</t>
  </si>
  <si>
    <t xml:space="preserve">Oven-Baked Pork paired with Domeniile Davidescu Wine | Chef Sorin Bontea’s Recipe</t>
  </si>
  <si>
    <t xml:space="preserve">https://domeniiledavidescu.ro/en/oven-baked-pork-paired-with-domeniile-davidescu-wine-chef-sorin-bonteas-recipe/</t>
  </si>
  <si>
    <t xml:space="preserve">2021-05-13</t>
  </si>
  <si>
    <t xml:space="preserve">Oven-Baked Fish paired with Domeniile Davidescu Wine | Chef Sorin Bontea’s Recipe</t>
  </si>
  <si>
    <t xml:space="preserve">https://domeniiledavidescu.ro/en/oven-baked-fish-paired-with-domeniile-davidescu-wine-chef-sorin-bonteas-recipe/</t>
  </si>
  <si>
    <t xml:space="preserve">2021-06-10</t>
  </si>
  <si>
    <t xml:space="preserve">Chef Bontea’s Recipe | Supreme Chicken Breast paired with Rara Neagră Rosé from Domeniile Davidescu</t>
  </si>
  <si>
    <t xml:space="preserve">https://domeniiledavidescu.ro/en/chef-bonteas-recipe-supreme-chicken-breast-paired-with-rara-neagra-rose-from-domeniile-davidescu/</t>
  </si>
  <si>
    <t xml:space="preserve">Oven-Baked Beef Brisket with Sweet Potatoes, paired with Fetească Neagră &amp; Malbec – Cătălin Scărlătescu</t>
  </si>
  <si>
    <t xml:space="preserve">https://domeniiledavidescu.ro/en/oven-baked-beef-brisket-with-sweet-potatoes-paired-with-feteasca-neagra-malbec-catalin-scarlatescu/</t>
  </si>
  <si>
    <t xml:space="preserve">2024-09-20</t>
  </si>
  <si>
    <t xml:space="preserve">Making Wine in Moldova with Mircea Bravo</t>
  </si>
  <si>
    <t xml:space="preserve">https://domeniiledavidescu.ro/en/making-wine-in-moldova-with-mircea-bravo/</t>
  </si>
  <si>
    <t xml:space="preserve">2026-01-21</t>
  </si>
  <si>
    <t xml:space="preserve">5 trucuri simple ca spumantul să rămână proaspăt și spumos după deschidere</t>
  </si>
  <si>
    <t xml:space="preserve">https://domeniiledavidescu.ro/5-trucuri-spumant-proaspat-spumos-dupa-deschidere/</t>
  </si>
  <si>
    <t xml:space="preserve">2026-01-19</t>
  </si>
  <si>
    <t xml:space="preserve">Brut, extra brut, demi-sec: ghidul clar pentru a înțelege stilurile de spumant</t>
  </si>
  <si>
    <t xml:space="preserve">https://domeniiledavidescu.ro/brut-extra-brut-demi-sec-ghid-stiluri-spumant/</t>
  </si>
  <si>
    <t xml:space="preserve">2026-01-27</t>
  </si>
  <si>
    <t xml:space="preserve">Care sunt diferențele dintre Rară Neagră spumantă, rosé și roșie?</t>
  </si>
  <si>
    <t xml:space="preserve">https://domeniiledavidescu.ro/care-sunt-diferentele-dintre-rara-neagra-spumanta-rose-si-rosie/</t>
  </si>
  <si>
    <t xml:space="preserve">2026-01-23</t>
  </si>
  <si>
    <t xml:space="preserve">Ce este Divin și cum se deosebește de cognac și brandy?</t>
  </si>
  <si>
    <t xml:space="preserve">https://domeniiledavidescu.ro/divin-domeniile-davidescu-diferente-cognac-brandy/</t>
  </si>
  <si>
    <t xml:space="preserve">Ce face Rară Neagră Saperavi diferită față de vinurile roșii clasice</t>
  </si>
  <si>
    <t xml:space="preserve">https://domeniiledavidescu.ro/ce-face-rara-neagra-saperavi-diferita-fata-de-vinurile-rosii-clasice/</t>
  </si>
  <si>
    <t xml:space="preserve">2026-01-15</t>
  </si>
  <si>
    <t xml:space="preserve">Cel mai bun vin rose pentru cadouri speciale. Recomandări pentru orice ocazie</t>
  </si>
  <si>
    <t xml:space="preserve">https://domeniiledavidescu.ro/cel-mai-bun-vin-rose-pentru-cadouri-speciale/</t>
  </si>
  <si>
    <t xml:space="preserve">2026-01-26</t>
  </si>
  <si>
    <t xml:space="preserve">Cele mai bune 4 vinuri moldovenești pentru masa de sărbători: recomandări pentru 2026</t>
  </si>
  <si>
    <t xml:space="preserve">https://domeniiledavidescu.ro/vinuri-sfantul-valentin-martisor-2026/</t>
  </si>
  <si>
    <t xml:space="preserve">2026-01-24</t>
  </si>
  <si>
    <t xml:space="preserve">Cele mai bune 4 vinuri roșii pe care le poți oferi cadou</t>
  </si>
  <si>
    <t xml:space="preserve">https://domeniiledavidescu.ro/cele-mai-bune-4-vinuri-rosii-cadou/</t>
  </si>
  <si>
    <t xml:space="preserve">2026-01-17</t>
  </si>
  <si>
    <t xml:space="preserve">Cum a fost creat primul spumant din Rară Neagră? Povestea inovației de la Domeniile Davidescu</t>
  </si>
  <si>
    <t xml:space="preserve">https://domeniiledavidescu.ro/primul-spumant-din-rara-neagra-domeniile-davidescu/</t>
  </si>
  <si>
    <t xml:space="preserve">2026-01-16</t>
  </si>
  <si>
    <t xml:space="preserve">Cum alegi vinuri moldovenești autentice: soiuri specifice și diferențe între regiuni</t>
  </si>
  <si>
    <t xml:space="preserve">https://domeniiledavidescu.ro/cum-alegi-vinuri-moldovenesti-autentice/</t>
  </si>
  <si>
    <t xml:space="preserve">2026-01-28</t>
  </si>
  <si>
    <t xml:space="preserve">Cum ia naștere Divin la Domeniile Davidescu: etape și meșteșugul din spatele maturării</t>
  </si>
  <si>
    <t xml:space="preserve">https://domeniiledavidescu.ro/cum-ia-nastere-divin-la-domeniile-davidescu/</t>
  </si>
  <si>
    <t xml:space="preserve">2026-01-11</t>
  </si>
  <si>
    <t xml:space="preserve">Cum savurezi corect vinars: temperatură ideală, ritual și recomandări de servire</t>
  </si>
  <si>
    <t xml:space="preserve">https://domeniiledavidescu.ro/cum-savurezi-corect-divin-davidescu/</t>
  </si>
  <si>
    <t xml:space="preserve">2026-01-30</t>
  </si>
  <si>
    <t xml:space="preserve">Când alegi un Muscat Viorica brut: ocazii, preparate și pairinguri ideale</t>
  </si>
  <si>
    <t xml:space="preserve">https://domeniiledavidescu.ro/cand-alegi-un-muscat-viorica-brut-ocazii-preparate-pairinguri-ideale/</t>
  </si>
  <si>
    <t xml:space="preserve">2026-01-12</t>
  </si>
  <si>
    <t xml:space="preserve">Fetească Neagră pentru preparate din carne roșie: pairing cu vinuri Domeniile Davidescu</t>
  </si>
  <si>
    <t xml:space="preserve">https://domeniiledavidescu.ro/feteasca-neagra-pentru-preparate-din-carne-rosie-pairing-cu-vinuri-domeniile-davidescu/</t>
  </si>
  <si>
    <t xml:space="preserve">Ghid de pairing: cum potrivești un Chardonnay sec cu cele mai bune preparate</t>
  </si>
  <si>
    <t xml:space="preserve">https://domeniiledavidescu.ro/ghid-pairing-chardonnay-sec/</t>
  </si>
  <si>
    <t xml:space="preserve">Soiul Viorica: origine, personalitate și cupaje care îi pun în valoare aromele</t>
  </si>
  <si>
    <t xml:space="preserve">https://domeniiledavidescu.ro/soiul-viorica-origine-personalitate-cupaje/</t>
  </si>
  <si>
    <t xml:space="preserve">2026-01-14</t>
  </si>
  <si>
    <t xml:space="preserve">Soiuri populare de vin alb: recomandări de la Domeniile Davidescu – arome, stiluri și sfaturi practice</t>
  </si>
  <si>
    <t xml:space="preserve">https://domeniiledavidescu.ro/soiuri-populare-vin-alb/</t>
  </si>
  <si>
    <t xml:space="preserve">2026-01-20</t>
  </si>
  <si>
    <t xml:space="preserve">Tot ce trebuie să știi despre vinul rosé: stiluri, gusturi, diferențe</t>
  </si>
  <si>
    <t xml:space="preserve">https://domeniiledavidescu.ro/tot-ce-trebuie-sa-stii-despre-vinul-rose/</t>
  </si>
  <si>
    <t xml:space="preserve">2026-01-29</t>
  </si>
  <si>
    <t xml:space="preserve">Vin baricat: cum se schimbă gustul unui Chardonnay maturat în baric vs. nebaric?</t>
  </si>
  <si>
    <t xml:space="preserve">https://domeniiledavidescu.ro/vin-baricat-vs-nebaricat-chardonnay/</t>
  </si>
  <si>
    <t xml:space="preserve">2026-01-13</t>
  </si>
  <si>
    <t xml:space="preserve">Vin roșu pentru serile reci: 3 recomandări de arome intense de la Domeniile Davidescu</t>
  </si>
  <si>
    <t xml:space="preserve">https://domeniiledavidescu.ro/vinuri-rosii-pentru-serile-reci/</t>
  </si>
  <si>
    <t xml:space="preserve">2026-01-18</t>
  </si>
  <si>
    <t xml:space="preserve">Vinuri albe seci pentru seri romantice: 3 recomandări de la Domeniile Davidescu</t>
  </si>
  <si>
    <t xml:space="preserve">https://domeniiledavidescu.ro/cum-alegi-vinul-alb-sec-pentru-o-seara-romantica/</t>
  </si>
  <si>
    <t xml:space="preserve">2026-02-02</t>
  </si>
  <si>
    <t xml:space="preserve">Brisket de vita la cuptor si cartofi dulci cu Feteasca Neagra &amp; Malbec, Catalin Scarlatescu</t>
  </si>
  <si>
    <t xml:space="preserve">https://domeniiledavidescu.ro/brisket-de-vita-la-cuptor-si-cartofi-dulci-cu-feteasca-neagra-malbec-catalin-scarlatescu/</t>
  </si>
  <si>
    <t xml:space="preserve">Domeniile Davidescu Becomes an Official Supplier to the Royal House of Romania</t>
  </si>
  <si>
    <t xml:space="preserve">https://domeniiledavidescu.ro/en/domeniile-davidescu-becomes-an-official-supplier-to-the-royal-house-of-romania/</t>
  </si>
  <si>
    <t xml:space="preserve">Domeniile Davidescu devine Furnizor al Casei Regale a României</t>
  </si>
  <si>
    <t xml:space="preserve">https://domeniiledavidescu.ro/domeniile-davidescu-furnizor-al-casei-regale-a-romaniei/</t>
  </si>
  <si>
    <t xml:space="preserve">Friptura din Rasol de Miel la cuptor cu fasole verde &amp; Rara Neagra &amp; Saperavi, Catalin Scarlatescu</t>
  </si>
  <si>
    <t xml:space="preserve">https://domeniiledavidescu.ro/friptura-din-rasol-de-miel-la-cuptor-cu-fasole-verde-rara-neagra-saperavi-catalin-scarlatescu/</t>
  </si>
  <si>
    <t xml:space="preserve">La făcut de vin în Republica Moldova cu Mircea Bravo</t>
  </si>
  <si>
    <t xml:space="preserve">https://domeniiledavidescu.ro/la-facut-de-vin-in-republica-moldova-cu-mircea-bravo/</t>
  </si>
  <si>
    <t xml:space="preserve">Peste la cuptor asociat cu vinul Domeniile Davidescu | Reteta Chef Sorin Bontea</t>
  </si>
  <si>
    <t xml:space="preserve">https://domeniiledavidescu.ro/peste-la-cuptor-asociat-cu-vinul-domeniile-davidescu-reteta-chef-sorin-bontea/</t>
  </si>
  <si>
    <t xml:space="preserve">Porc la cuptor asociat cu vinul Domeniile Davidescu, Reteta Sorin Bontea</t>
  </si>
  <si>
    <t xml:space="preserve">https://domeniiledavidescu.ro/porc-la-cuptor-asociat-cu-vinul-domeniile-davidescu-reteta-sorin-bontea/</t>
  </si>
  <si>
    <t xml:space="preserve">Reteta Chef Bontea | Piept de pui suprem asociat cu vin Rose Rara Neagra de la Domeniile Davidescu</t>
  </si>
  <si>
    <t xml:space="preserve">https://domeniiledavidescu.ro/reteta-chef-bontea-piept-de-pui-suprem-asociat-cu-vin-rose-rara-neagra-de-la-domeniile-davidescu/</t>
  </si>
  <si>
    <t xml:space="preserve">2022-04-21</t>
  </si>
  <si>
    <t xml:space="preserve">Domeniile Ostrov recomandă vinurile potrivite pentru masa de Paște</t>
  </si>
  <si>
    <t xml:space="preserve">https://www.domeniileostrov.ro/blogs/blog/domeniile-ostrov-recomanda-vinurile-potrivite-pentru-masa-de-pa%C8%99te</t>
  </si>
  <si>
    <t xml:space="preserve">2022-08-17</t>
  </si>
  <si>
    <t xml:space="preserve">Domeniile Ostrov, 1,2 milioane de litri de vin rose vânduți în 2021</t>
  </si>
  <si>
    <t xml:space="preserve">https://www.domeniileostrov.ro/blogs/blog/domeniile-ostrov-1-2-milioane-de-litri-de-vin-rose-vandu%C8%9Bi-in-2021</t>
  </si>
  <si>
    <t xml:space="preserve">Domeniile Ostrov, lider pe piața vinului rose de calitate. Oana Belu: Suntem mândri că am mizat pe acest sortiment</t>
  </si>
  <si>
    <t xml:space="preserve">https://www.domeniileostrov.ro/blogs/blog/domeniile-ostrov-lider-pe-pia%C8%9Ba-vinului-rose-de-calitate-oana-belu-suntem-mandri-ca-am-mizat-pe-acest-sortiment</t>
  </si>
  <si>
    <t xml:space="preserve">2022-11-02</t>
  </si>
  <si>
    <t xml:space="preserve">Vrei să bei un vin medaliat în Anglia, Germania, Franța și România: Reserve LEGIO de la Domeniile Ostrov</t>
  </si>
  <si>
    <t xml:space="preserve">https://www.domeniileostrov.ro/blogs/blog/vrei-sa-bei-un-vin-medaliat-in-anglia-germania-fran%C8%9Ba-%C8%99i-romania-reserve-legio-de-la-domeniile-ostrov</t>
  </si>
  <si>
    <t xml:space="preserve">2022-12-08</t>
  </si>
  <si>
    <t xml:space="preserve">Domeniile Ostrov, petrecere cu fast la final de 2022. Smiley, Juno și Delia au întreținut atmosfera. Cine a mai luat parte la eveniment</t>
  </si>
  <si>
    <t xml:space="preserve">https://www.domeniileostrov.ro/blogs/blog/domeniile-ostrov-petrecere-cu-fast-la-final-de-2022-smiley-juno-%C8%99i-delia-au-intre%C8%9Binut-atmosfera-cine-a-mai-luat-parte-la-eveniment</t>
  </si>
  <si>
    <t xml:space="preserve">2023-02-21</t>
  </si>
  <si>
    <t xml:space="preserve">Domeniile Ostrov și Naturelo: evoluție, investiții și producții</t>
  </si>
  <si>
    <t xml:space="preserve">https://www.domeniileostrov.ro/blogs/blog/domeniile-ostrov-%C8%99i-naturelo-evolu%C8%9Bie-investi%C8%9Bii-%C8%99i-produc%C8%9Bii</t>
  </si>
  <si>
    <t xml:space="preserve">2023-07-11</t>
  </si>
  <si>
    <t xml:space="preserve">Cifra de afaceri în 2022 a brandului Domeniile Ostrov este de 45 de milioane lei</t>
  </si>
  <si>
    <t xml:space="preserve">Corporate / financial</t>
  </si>
  <si>
    <t xml:space="preserve">https://www.domeniileostrov.ro/blogs/blog/cifra-de-afaceri-in-2022-a-brandului-domeniile-ostrov-este-de-45-de-milioane-lei</t>
  </si>
  <si>
    <t xml:space="preserve">Domeniile Ostrov a ajuns la 45 de milioane de lei în 2022 / Creșterea se menține și în 2023</t>
  </si>
  <si>
    <t xml:space="preserve">https://www.domeniileostrov.ro/blogs/blog/domeniile-ostrov-a-ajuns-la-45-de-milioane-de-lei-in-2022-cre%C8%99terea-se-men%C8%9Bine-%C8%99i-in-2023</t>
  </si>
  <si>
    <t xml:space="preserve">Domeniile Ostrov a atins cifra de afaceri de 45 de milioane de lei în 2022</t>
  </si>
  <si>
    <t xml:space="preserve">https://www.domeniileostrov.ro/blogs/blog/domeniile-ostrov-a-atins-cifra-de-afaceri-de-45-de-milioane-de-lei-in-2022</t>
  </si>
  <si>
    <t xml:space="preserve">Domeniile Ostrov vinde vinurile din Dobrogea în Lidl, Kaufland, Metro, Cora sau Auchan</t>
  </si>
  <si>
    <t xml:space="preserve">https://www.domeniileostrov.ro/blogs/blog/domeniile-ostrov-vinde-vinurile-din-dobrogea-in-lidl-kaufland-metro-cora-sau-auchan</t>
  </si>
  <si>
    <t xml:space="preserve">Fructe ”Made in Romania” de la Domeniile Ostrov: Fructe pur românești în magazinele partenere și piețele din țară</t>
  </si>
  <si>
    <t xml:space="preserve">https://www.domeniileostrov.ro/blogs/blog/fructe-made-in-romania-de-la-domeniile-ostrov-fructe-pur-romane%C8%99ti-in-magazinele-partenere-%C8%99i-pie%C8%9Bele-din-%C8%9Bara</t>
  </si>
  <si>
    <t xml:space="preserve">2023-08-24</t>
  </si>
  <si>
    <t xml:space="preserve">Domeniile Ostrov: Producție mare de struguri / Creștere de 7% față de 2021</t>
  </si>
  <si>
    <t xml:space="preserve">https://www.domeniileostrov.ro/blogs/blog/domeniile-ostrov-produc%C8%9Bie-mare-de-struguri-cre%C8%99tere-de-7-fa%C8%9Ba-de-2021</t>
  </si>
  <si>
    <t xml:space="preserve">2023-11-17</t>
  </si>
  <si>
    <t xml:space="preserve">ISTORIA VINULUI I</t>
  </si>
  <si>
    <t xml:space="preserve">https://www.domeniileostrov.ro/blogs/blog/istoria-vinului-i</t>
  </si>
  <si>
    <t xml:space="preserve">ISTORIA VINULUI II</t>
  </si>
  <si>
    <t xml:space="preserve">https://www.domeniileostrov.ro/blogs/blog/istoria-vinului-ii</t>
  </si>
  <si>
    <t xml:space="preserve">ISTORIA VINULUI III</t>
  </si>
  <si>
    <t xml:space="preserve">https://www.domeniileostrov.ro/blogs/blog/istoria-vinului-iii</t>
  </si>
  <si>
    <t xml:space="preserve">Vinul Dobrogean-Vinul de Ostrov( Tradiție și Istorie )</t>
  </si>
  <si>
    <t xml:space="preserve">https://www.domeniileostrov.ro/blogs/blog/vinul-dobrogean-vinul-de-ostrov-tradi%C8%9Bie-%C8%99i-istorie</t>
  </si>
  <si>
    <t xml:space="preserve">2024-03-02</t>
  </si>
  <si>
    <t xml:space="preserve">Caracteristicile Vinurilor de pe Insula Ostrov</t>
  </si>
  <si>
    <t xml:space="preserve">https://www.domeniileostrov.ro/blogs/blog/caracteristicile-vinurilor-de-pe-insula-ostrov</t>
  </si>
  <si>
    <t xml:space="preserve">2024-03-05</t>
  </si>
  <si>
    <t xml:space="preserve">Descoperă Aromele și Eleganța Vinurilor Domeniilor Ostrov: Cabernet Sauvignon, Merlot, Chardonnay, Sauvignon Blanc, Pinot Noir</t>
  </si>
  <si>
    <t xml:space="preserve">https://www.domeniileostrov.ro/blogs/blog/descopera-aromele-%C8%99i-elegan%C8%9Ba-vinurilor-domeniilor-ostrov-cabernet-sauvignon-merlot-chardonnay-sauvignon-blanc-pinot-noir</t>
  </si>
  <si>
    <t xml:space="preserve">Descoperă Povestea Vinurilor Naiada de la Domeniile Ostrov: Înălțând Mitul Naiadelor</t>
  </si>
  <si>
    <t xml:space="preserve">https://www.domeniileostrov.ro/blogs/blog/descopera-povestea-vinurilor-naiada-de-la-domeniile-ostrov-inal%C8%9Band-mitul-naiadelor</t>
  </si>
  <si>
    <t xml:space="preserve">2024-03-13</t>
  </si>
  <si>
    <t xml:space="preserve">Descoperă aromele primăverii: Ghid pentru vinurile de primăvară de la Domeniile Ostrov</t>
  </si>
  <si>
    <t xml:space="preserve">https://www.domeniileostrov.ro/blogs/blog/descopera-aromele-primaverii-ghid-pentru-vinurile-de-primavara-de-la-domeniile-ostrov</t>
  </si>
  <si>
    <t xml:space="preserve">2024-04-30</t>
  </si>
  <si>
    <t xml:space="preserve">Despre brandul de vinuri DOMENIILE OSTROV</t>
  </si>
  <si>
    <t xml:space="preserve">https://www.domeniileostrov.ro/blogs/blog/despre-brandul-de-vinuri-domeniile-ostrov</t>
  </si>
  <si>
    <t xml:space="preserve">2024-07-31</t>
  </si>
  <si>
    <t xml:space="preserve">Domeniile Ostrov: Selecția perfectă de vinuri pentru fiecare fel de mâncare</t>
  </si>
  <si>
    <t xml:space="preserve">https://www.domeniileostrov.ro/blogs/blog/domeniile-ostrov-selec%C8%9Bia-perfecta-de-vinuri-pentru-fiecare-fel-de-mancare</t>
  </si>
  <si>
    <t xml:space="preserve">Hortifruct: recolta de mazăre mai mare cu 62% față de 2022</t>
  </si>
  <si>
    <t xml:space="preserve">https://www.domeniileostrov.ro/blogs/blog/hortifruct-recolta-de-mazare-mai-mare-cu-62-fa%C8%9Ba-de-2022</t>
  </si>
  <si>
    <t xml:space="preserve">Salonul turistic de la Paris – România prezintă vinuri, muzică şi dans, Ciprian Porumbescu, Timişoara culturală</t>
  </si>
  <si>
    <t xml:space="preserve">https://www.domeniileostrov.ro/blogs/blog/salonul-turistic-de-la-paris-romania-prezinta-vinuri-muzica-si-dans-ciprian-porumbescu-timisoara-culturala</t>
  </si>
  <si>
    <t xml:space="preserve">2024-07-23</t>
  </si>
  <si>
    <t xml:space="preserve">Vinurile roze de la Domeniile Ostrov. O experiență deosebită și rafinată</t>
  </si>
  <si>
    <t xml:space="preserve">https://www.domeniileostrov.ro/blogs/blog/vinurile-roze-de-la-domeniile-ostrov-o-experien%C8%9Ba-deosebita-%C8%99i-rafinata</t>
  </si>
  <si>
    <t xml:space="preserve">2024-08-07</t>
  </si>
  <si>
    <t xml:space="preserve">Canicula grăbește recoltarea strugurilor Victoria</t>
  </si>
  <si>
    <t xml:space="preserve">https://www.domeniileostrov.ro/blogs/blog/canicula-grabe%C8%99te-recoltarea-strugurilor-victoria</t>
  </si>
  <si>
    <t xml:space="preserve">2024-10-07</t>
  </si>
  <si>
    <t xml:space="preserve">Domeniile Ostrov readuce în atenția românilor vinul Pelin, o tradiție dulce-amăruie</t>
  </si>
  <si>
    <t xml:space="preserve">2025-01-21</t>
  </si>
  <si>
    <t xml:space="preserve">Domeniile Ostrov: Creștere semnificativă în 2024 și expansiune către un public diversificat</t>
  </si>
  <si>
    <t xml:space="preserve">https://www.domeniileostrov.ro/blogs/comunicate-de-presa/domeniile-ostrov-cre%C8%99tere-semnificativa-in-2024-%C8%99i-expansiune-catre-un-public-diversificat</t>
  </si>
  <si>
    <t xml:space="preserve">2025-04-18</t>
  </si>
  <si>
    <t xml:space="preserve">Românii cumpără mai mult vin online în 2025. Domeniile Ostrov anunță creșteri semnificative în vânzările online ale gamei Naiada</t>
  </si>
  <si>
    <t xml:space="preserve">2025-06-05</t>
  </si>
  <si>
    <t xml:space="preserve">Vinurile Domeniile Ostrov, recunoscute internațional: Medalii de aur și argint la competiții prestigioase</t>
  </si>
  <si>
    <t xml:space="preserve">Zăpada acoperă viile, dar seva este în sticlele noastre!</t>
  </si>
  <si>
    <t xml:space="preserve">https://www.domeniileostrov.ro/blogs/blog/zapada-acopera-viile-dar-seva-este-in-sticlele-noastre</t>
  </si>
  <si>
    <t xml:space="preserve">2022-11-09</t>
  </si>
  <si>
    <t xml:space="preserve">Press Release: Start of project under the Program “Grants for working capital given to entities in the agri-food sector”</t>
  </si>
  <si>
    <t xml:space="preserve">https://aureliavisinescu.com/press-release-start-of-project-under-the-program-grants-for-working-capital-given-to-entities-in-the-agri-food-sector/</t>
  </si>
  <si>
    <t xml:space="preserve">2023-04-28</t>
  </si>
  <si>
    <t xml:space="preserve">Press release: Completion of the project under the Measure “Grants for working capital awarded to entities in the agri-food sector”</t>
  </si>
  <si>
    <t xml:space="preserve">https://aureliavisinescu.com/press-release-completion-of-the-project-under-the-measure-grants-for-working-capital-awarded-to-entities-in-the-agri-food-sector/</t>
  </si>
  <si>
    <t xml:space="preserve">2021-02-12</t>
  </si>
  <si>
    <t xml:space="preserve">De azi, Mysterium înseamnă și vinuri spumante super-premium, obținute prin metoda tradițională</t>
  </si>
  <si>
    <t xml:space="preserve">2021-03-15</t>
  </si>
  <si>
    <t xml:space="preserve">Februarie și martie, două luni cu medalii pentru vinurile Jidvei</t>
  </si>
  <si>
    <t xml:space="preserve">https://www.jidvei.ro/februarie-si-martie-doua-luni-cu-medalii-pentru-vinurile-jidvei/</t>
  </si>
  <si>
    <t xml:space="preserve">2021-03-05</t>
  </si>
  <si>
    <t xml:space="preserve">Vinurile Jidvei, din nou pe podiumurile mondiale</t>
  </si>
  <si>
    <t xml:space="preserve">https://www.jidvei.ro/vinurile-jidvei-din-nou-pe-podiumurile-mondiale/</t>
  </si>
  <si>
    <t xml:space="preserve">2021-03-25</t>
  </si>
  <si>
    <t xml:space="preserve">„Vin și Gust” – un nou proiect Jidvei în care gastronomia și arta vinului își dau mâna pentru a crea noi experiențe senzoriale</t>
  </si>
  <si>
    <t xml:space="preserve">https://www.jidvei.ro/vin-si-gust-un-nou-proiect-jidvei-in-care-gastronomia-si-arta-vinului-isi-dau-mana-pentru-a-crea-noi-experiente-senzoriale/</t>
  </si>
  <si>
    <t xml:space="preserve">2021-04-27</t>
  </si>
  <si>
    <t xml:space="preserve">Martie și aprilie: două luni pline de vești bune și de medalii pentru vinurile Jidvei</t>
  </si>
  <si>
    <t xml:space="preserve">https://www.jidvei.ro/martie-si-aprilie-doua-luni-pline-de-vesti-bune-si-de-medalii-pentru-vinurile-jidvei/</t>
  </si>
  <si>
    <t xml:space="preserve">Vinurile Jidvei medaliate la Femmes et Vins du Monde 2021</t>
  </si>
  <si>
    <t xml:space="preserve">https://www.jidvei.ro/vinurile-jidvei-medaliate-la-femmes-et-vins-du-monde-2021/</t>
  </si>
  <si>
    <t xml:space="preserve">2021-07-14</t>
  </si>
  <si>
    <t xml:space="preserve">Mai și iunie: două luni încărcate cu vești bune și premii</t>
  </si>
  <si>
    <t xml:space="preserve">https://www.jidvei.ro/mai-si-iunie-doua-luni-incarcate-cu-vesti-bune-si-premii/</t>
  </si>
  <si>
    <t xml:space="preserve">2021-08-04</t>
  </si>
  <si>
    <t xml:space="preserve">Jidvei dă startul celei de-a șaptea ediții a campaniei „Must de la Jidvei”</t>
  </si>
  <si>
    <t xml:space="preserve">10 zile, 5 simțuri, 2 vinuri – cu Jidvei la Art Safari Bucharest</t>
  </si>
  <si>
    <t xml:space="preserve">2022-03-25</t>
  </si>
  <si>
    <t xml:space="preserve">24 de medalii pentru vinurile Jidvei deschid primăvara</t>
  </si>
  <si>
    <t xml:space="preserve">https://www.jidvei.ro/24-de-medalii-pentru-vinurile-jidvei-deschid-primavara/</t>
  </si>
  <si>
    <t xml:space="preserve">2022-03-24</t>
  </si>
  <si>
    <t xml:space="preserve">Un vin românesc a fost ales Cel Mai Bun Spumant Roze la Concours Mondial de Bruxelles</t>
  </si>
  <si>
    <t xml:space="preserve">https://www.jidvei.ro/un-vin-romanesc-a-fost-ales-cel-mai-bun-spumant-rose-la-concours-mondial-de-bruxelles/</t>
  </si>
  <si>
    <t xml:space="preserve">2022-04-19</t>
  </si>
  <si>
    <t xml:space="preserve">22 de noi medalii pentru vinurile Jidvei în această primăvară</t>
  </si>
  <si>
    <t xml:space="preserve">https://www.jidvei.ro/22-de-noi-medalii-pentru-vinurile-jidvei-in-aceasta-primavara/</t>
  </si>
  <si>
    <t xml:space="preserve">2022-06-30</t>
  </si>
  <si>
    <t xml:space="preserve">Când vine vorba de vin, există ani buni și există ani de excepție</t>
  </si>
  <si>
    <t xml:space="preserve">https://www.jidvei.ro/cand-vine-vorba-de-vin-exista-ani-buni-si-exista-ani-de-exceptie/</t>
  </si>
  <si>
    <t xml:space="preserve">2022-09-09</t>
  </si>
  <si>
    <t xml:space="preserve">Culesul strugurilor la Jidvei, cea mai frumoasă sărbătoare a toamnei</t>
  </si>
  <si>
    <t xml:space="preserve">https://www.jidvei.ro/culesul-strugurilor-la-jidvei-cea-mai-frumoasa-sarbatoare-a-toamnei/</t>
  </si>
  <si>
    <t xml:space="preserve">2022-09-02</t>
  </si>
  <si>
    <t xml:space="preserve">Premieră pentru vinul românesc la Mundus Vini</t>
  </si>
  <si>
    <t xml:space="preserve">https://www.jidvei.ro/premiera-pentru-vinul-romanesc-la-mundus-vini/</t>
  </si>
  <si>
    <t xml:space="preserve">2022-10-14</t>
  </si>
  <si>
    <t xml:space="preserve">Owner’s Choice – 10 ani, 5 vinuri, peste 150 de medalii. Și nu ne oprim aici…</t>
  </si>
  <si>
    <t xml:space="preserve">https://www.jidvei.ro/owners-choice-10-ani-5-vinuri-peste-150-de-medalii/</t>
  </si>
  <si>
    <t xml:space="preserve">Noua gamă de vinuri, Iluziv by Jidvei, o premieră pe piața vinului din România</t>
  </si>
  <si>
    <t xml:space="preserve">https://www.iqads.ro/articol/64374/noua-gama-de-vinuri-iluziv-by-jidvei-o-premiera-pe-piata-vinului-din-romania</t>
  </si>
  <si>
    <t xml:space="preserve">2023-01-13</t>
  </si>
  <si>
    <t xml:space="preserve">Platforma Cocktails by Jidvei, o inițiativă unică în România</t>
  </si>
  <si>
    <t xml:space="preserve">2023-03-27</t>
  </si>
  <si>
    <t xml:space="preserve">D.O.C. Jidvei este un pas mai departe în arta vinului. Și nu ne oprim aici.</t>
  </si>
  <si>
    <t xml:space="preserve">2023-04-04</t>
  </si>
  <si>
    <t xml:space="preserve">Traminer Roz CIB 2018, ecoul unui an viticol de excepție</t>
  </si>
  <si>
    <t xml:space="preserve">https://www.jidvei.ro/traminer-roz-cib-2018-ecoul-unui-an-viticol-de-exceptie/</t>
  </si>
  <si>
    <t xml:space="preserve">2023-04-25</t>
  </si>
  <si>
    <t xml:space="preserve">Vino în Țara Vinului!</t>
  </si>
  <si>
    <t xml:space="preserve">https://www.jidvei.ro/vino-in-tara-vinului/</t>
  </si>
  <si>
    <t xml:space="preserve">2023-06-30</t>
  </si>
  <si>
    <t xml:space="preserve">2023-07-14</t>
  </si>
  <si>
    <t xml:space="preserve">WeinRun – o provocare lansată de Jidvei iubitorilor de sport și natură</t>
  </si>
  <si>
    <t xml:space="preserve">2023-08-04</t>
  </si>
  <si>
    <t xml:space="preserve">Jidvei dă startul unei noi ediții a campaniei „Must de la Jidvei”</t>
  </si>
  <si>
    <t xml:space="preserve">https://www.jidvei.ro/jidvei-da-startul-unei-noi-editii-a-campaniei-must-de-la-jidvei/</t>
  </si>
  <si>
    <t xml:space="preserve">Sărbătoarea cântecului la ediția omagială a Festivalului Național de Folclor „Strugurele de Aur” – 2023</t>
  </si>
  <si>
    <t xml:space="preserve">https://www.jidvei.ro/sarbatoarea-cantecului-la-editia-omagiala-a-festivalului-national-de-folclor-strugurele-de-aur-2023/</t>
  </si>
  <si>
    <t xml:space="preserve">2023-10-13</t>
  </si>
  <si>
    <t xml:space="preserve">Noua gamă Pinot Noir marchează o premieră extraordinară între vinurile Jidvei</t>
  </si>
  <si>
    <t xml:space="preserve">https://www.jidvei.ro/noua-gama-pinot-noir-marcheaza-o-premiera-extraordinara-intre-vinurile-jidvei/</t>
  </si>
  <si>
    <t xml:space="preserve">Jidvei, singurul brand românesc de vinuri în Top 100 de producători premium din întreaga lume</t>
  </si>
  <si>
    <t xml:space="preserve">https://www.iqads.ro/articol/67065/jidvei-singurul-brand-romanesc-de-vinuri-in-top-100-de-producatori-premium-din</t>
  </si>
  <si>
    <t xml:space="preserve">Vinul Jidvei, de la Centrul Pompidou la Festivalul de Film de la Cannes, susține arta românească la un eveniment cinematografic de pres</t>
  </si>
  <si>
    <t xml:space="preserve">https://www.iqads.ro/articol/68298/vinul-jidvei-de-la-centrul-pompidou-la-festivalul-de-film-de-la-cannes-sustine</t>
  </si>
  <si>
    <t xml:space="preserve">2024-02-29</t>
  </si>
  <si>
    <t xml:space="preserve">Jidvei, cel mai premiat producător român la Mundus Vini Spring Tasting 2024</t>
  </si>
  <si>
    <t xml:space="preserve">https://www.jidvei.ro/jidvei-cel-mai-premiat-producator-roman-la-mundus-vini-spring-tasting-2024/</t>
  </si>
  <si>
    <t xml:space="preserve">https://www.jidvei.ro/jidvei-singurul-brand-romanesc-de-vinuri-in-top-100-de-producatori-premium-din-intreaga-lume/</t>
  </si>
  <si>
    <t xml:space="preserve">2024-03-26</t>
  </si>
  <si>
    <t xml:space="preserve">Jidvei alături de 2800 de vizitatori la vernisajul Brâncuși de la Paris. O premieră absolută</t>
  </si>
  <si>
    <t xml:space="preserve">https://www.iqads.ro/articol/67645/jidvei-alaturi-de-2800-de-vizitatori-la-vernisajul-c-brancusi-de-la-paris-o</t>
  </si>
  <si>
    <t xml:space="preserve">Jidvei, vinul oficial al vernisajului celei mai mari expoziții Brâncuși din lume, de la Paris</t>
  </si>
  <si>
    <t xml:space="preserve">https://www.jidvei.ro/jidvei-vinul-oficial-al-vernisajului-celei-mai-mari-expozitii-brancusi-din-lume-de-la-paris/</t>
  </si>
  <si>
    <t xml:space="preserve">Premieră. Jidvei este vinul oficial al vernisajului celei mai ample expoziții Brâncuși din lume, organizată la Centrul Pompidou din Paris</t>
  </si>
  <si>
    <t xml:space="preserve">2024-05-17</t>
  </si>
  <si>
    <t xml:space="preserve">Aniversare a Festivalului Național de Folclor „Strugurele de Aur” Ediția XX a Concursului de interpretare vocală și instrumentală</t>
  </si>
  <si>
    <t xml:space="preserve">https://www.jidvei.ro/aniversare-a-festivalului-national-de-folclor-strugurele-de-aur-editia-xx-a-concursului-de-interpretare-vocala-si-instrumentala/</t>
  </si>
  <si>
    <t xml:space="preserve">2024-05-31</t>
  </si>
  <si>
    <t xml:space="preserve">Castelul Bethlen-Haller, desemnat de Top Hotel Awards „Cea mai bună destinație de turism viticol din România”</t>
  </si>
  <si>
    <t xml:space="preserve">https://www.jidvei.ro/castelul-bethlen-haller-desemnat-de-top-hotel-awards-cea-mai-buna-destinatie-de-turism-viticol-din-romania/</t>
  </si>
  <si>
    <t xml:space="preserve">2024-05-15</t>
  </si>
  <si>
    <t xml:space="preserve">Descoperă Țara Vinului în alergare! Jidvei Weinland Trails 2024, un concurs caritabil cu rute inedit gândite printre vii</t>
  </si>
  <si>
    <t xml:space="preserve">https://www.jidvei.ro/descopera-tara-vinului-in-alergare-jidvei-weinland-trails-2024-un-concurs-caritabil-cu-rute-inedit-gandite-printre-vii/</t>
  </si>
  <si>
    <t xml:space="preserve">2024-06-08</t>
  </si>
  <si>
    <t xml:space="preserve">De la Centrul Pompidou la Festivalul de Film de la Cannes Jidvei susține arta românească la un eveniment cinematografic de prestigiu</t>
  </si>
  <si>
    <t xml:space="preserve">https://www.jidvei.ro/de-la-centrul-pompidou-la-festivalul-de-film-de-la-cannes-jidvei-sustine-arta-romaneasca-la-un-eveniment-cinematografic-de-prestigiu/</t>
  </si>
  <si>
    <t xml:space="preserve">2024-06-10</t>
  </si>
  <si>
    <t xml:space="preserve">Festivalul Național de Folclor „Strugurele de Aur” a desemnat tinerii interpreți admiși la cea de-a XX-a ediție a concursului</t>
  </si>
  <si>
    <t xml:space="preserve">https://www.jidvei.ro/festivalul-national-de-folclor-strugurele-de-aur-a-desemnat-tinerii-interpreti-admisi-la-cea-de-a-xx-a-editie-a-concursului/</t>
  </si>
  <si>
    <t xml:space="preserve">2024-07-26</t>
  </si>
  <si>
    <t xml:space="preserve">Asociația „Jidvei – Viitor prin Educație” este, de 5 ani, sponsor COSR, iar Jidvei, vinul oficial al evenimentelor organizate la Casa României pe perioada Jocurilor Olimpice de la Paris</t>
  </si>
  <si>
    <t xml:space="preserve">https://www.jidvei.ro/asociatia-jidvei-viitor-prin-educatie-este-de-5-ani-sponsor-cosr-iar-jidvei-vinul-oficial-al-evenimentelor-organizate-la-casa-romaniei-pe-perioada-jocurilor-olimpice-de-la-pari/</t>
  </si>
  <si>
    <t xml:space="preserve">2024-07-01</t>
  </si>
  <si>
    <t xml:space="preserve">Premieră. Jidvei este vinul official al cele mai ample expoziții Brâncuși din lume, organizată la Centrul Pompidou din Paris</t>
  </si>
  <si>
    <t xml:space="preserve">https://www.iqads.ro/articol/67503/premiera-jidvei-este-vinul-official-al-cele-mai-ample-expozitii-brancusi-din</t>
  </si>
  <si>
    <t xml:space="preserve">2024-08-28</t>
  </si>
  <si>
    <t xml:space="preserve">Cea de-a xx-a ediție Festivalului Național de Folclor Strugurele de Aur celebrează Bicentenarul nașterii lui Avram Iancu</t>
  </si>
  <si>
    <t xml:space="preserve">https://www.jidvei.ro/cea-de-a-xx-a-editie-festivalului-national-de-folclor-strugurele-de-aur-celebreaza-bicentenarul-nasterii-lui-avram-iancu/</t>
  </si>
  <si>
    <t xml:space="preserve">2024-08-16</t>
  </si>
  <si>
    <t xml:space="preserve">Jidvei Weinland Trails – Harvest Edition, o nouă provocare pentru iubitorii de natură și vin</t>
  </si>
  <si>
    <t xml:space="preserve">https://www.jidvei.ro/jidvei-weinland-trails-harvest-edition-o-noua-provocare-pentru-iubitorii-de-natura-si-vin/</t>
  </si>
  <si>
    <t xml:space="preserve">2024-08-06</t>
  </si>
  <si>
    <t xml:space="preserve">Jidvei dă startul ediției 2024 a campaniei „Must de la Jidvei”</t>
  </si>
  <si>
    <t xml:space="preserve">2024-08-10</t>
  </si>
  <si>
    <t xml:space="preserve">Jocurile Olimpice de la Paris ne-au adus mai aproape de sportivii români, printr-un parteneriat devenit tradiție între Asociația Jidvei – Viitor prin Educație și COSR</t>
  </si>
  <si>
    <t xml:space="preserve">2024-09-07</t>
  </si>
  <si>
    <t xml:space="preserve">Festivalul Național de Folclor „Strugurele de Aur” – Ediția a XX-a și-a desemnat câștigătorii la Gala Laureaților</t>
  </si>
  <si>
    <t xml:space="preserve">https://www.jidvei.ro/festivalul-national-de-folclor-strugurele-de-aur-editia-a-xx-a-si-a-desemnat-castigatorii-la-gala-laureatilor/</t>
  </si>
  <si>
    <t xml:space="preserve">2024-11-23</t>
  </si>
  <si>
    <t xml:space="preserve">Eu sunt Jidvei. Născut în inima Transilvaniei, desăvârșit în Țara Vinului.</t>
  </si>
  <si>
    <t xml:space="preserve">2024-12-02</t>
  </si>
  <si>
    <t xml:space="preserve">Jidvei, vinul oficial al evenimentului Ziua Națională a României pe scena La Fenice – Stele ale Operei Româneşti la Veneţia</t>
  </si>
  <si>
    <t xml:space="preserve">https://www.jidvei.ro/jidvei-vinul-oficial-al-evenimentului-ziua-nationala-a-romaniei-pe-scena-la-fenice-stele-ale-operei-romanesti-la-venetia/</t>
  </si>
  <si>
    <t xml:space="preserve">2024-12-11</t>
  </si>
  <si>
    <t xml:space="preserve">Lansăm Verjus Jidvei – primul produs românesc de acest tip, dedicat celor pasionați de gastronomie și de un stil de viață sănătos</t>
  </si>
  <si>
    <t xml:space="preserve">https://www.jidvei.ro/lansam-verjus-jidvei-primul-produs-romanesc-de-acest-tip-dedicat-celor-pasionati-de-gastronomie-si-de-un-stil-de-viata-sanatos/</t>
  </si>
  <si>
    <t xml:space="preserve">Alexandra Tînjală: Cultura este modul prin care o comunitate alege să spună cine este. Noi alegem să spunem povestea Jidvei prin proiec</t>
  </si>
  <si>
    <t xml:space="preserve">https://www.iqads.ro/articol/72413/alexandra-tinjala-cultura-este-modul-prin-care-o-comunitate-alege-sa-spuna-cine</t>
  </si>
  <si>
    <t xml:space="preserve">Jidvei duce vinul românesc la Teatrul La Fenice din Veneția</t>
  </si>
  <si>
    <t xml:space="preserve">https://www.iqads.ro/articol/70531/jidvei-duce-vinul-romanesc-la-teatrul-la-fenice-din-venetia</t>
  </si>
  <si>
    <t xml:space="preserve">Jidvei lansează Vinars XO, în premieră internațională, la Paris</t>
  </si>
  <si>
    <t xml:space="preserve">https://www.iqads.ro/articol/73291/jidvei-lanseaza-vinars-xo-in-premiera-internationala-la-paris</t>
  </si>
  <si>
    <t xml:space="preserve">Michelle Obama la IMPACT București. JIDVEI, vinul oficial al celui mai important eveniment de business &amp; tech din Europa de Sud-Est</t>
  </si>
  <si>
    <t xml:space="preserve">https://www.iqads.ro/articol/73099/michelle-obama-la-impact-bucuresti-jidvei-vinul-oficial-al-celui-mai-important</t>
  </si>
  <si>
    <t xml:space="preserve">2025-01-28</t>
  </si>
  <si>
    <t xml:space="preserve">Jidvei obține statutul de DOP (Denumire de Origine Protejată), o recunoaștere a excelenței vinurilor sale</t>
  </si>
  <si>
    <t xml:space="preserve">https://www.jidvei.ro/jidvei-obtine-statutul-de-dop-denumire-de-origine-protejata-o-recunoastere-a-excelentei-vinurilor-sale/</t>
  </si>
  <si>
    <t xml:space="preserve">2025-03-07</t>
  </si>
  <si>
    <t xml:space="preserve">Start înscrieri pentru cea mai frumoasă competiție de alergare din inima Transilvaniei, Jidvei Weinland Trails – Spring Running Edition</t>
  </si>
  <si>
    <t xml:space="preserve">https://www.jidvei.ro/start-inscrieri-pentru-cea-mai-frumoasa-competitie-de-alergare-din-inima-transilvaniei-jidvei-weinland-trails-spring-running-edition/</t>
  </si>
  <si>
    <t xml:space="preserve">2025-05-15</t>
  </si>
  <si>
    <t xml:space="preserve">Castelul Bethlen-Haller distins la TopHotel Awards 2025</t>
  </si>
  <si>
    <t xml:space="preserve">2025-06-19</t>
  </si>
  <si>
    <t xml:space="preserve">Concert extraordinar la Castelul Bethlen-Haller: Alexandru Tomescu și vioara Stradivarius în închiderea Turneului RAPSODIILE</t>
  </si>
  <si>
    <t xml:space="preserve">https://www.jidvei.ro/concert-extraordinar-la-castelul-bethlen-haller-alexandru-tomescu-si-vioara-stradivarius-in-inchiderea-turneului-rapsodiile/</t>
  </si>
  <si>
    <t xml:space="preserve">2025-07-29</t>
  </si>
  <si>
    <t xml:space="preserve">S-au deschis înscrierile pentru preselecția Festivalului Național de Folclor Strugurele de Aur 2025</t>
  </si>
  <si>
    <t xml:space="preserve">https://www.jidvei.ro/s-au-deschis-inscrierile-pentru-preselectia-festivalului-national-de-folclor-strugurele-de-aur-2025/</t>
  </si>
  <si>
    <t xml:space="preserve">2025-08-18</t>
  </si>
  <si>
    <t xml:space="preserve">Festivalul Național de Folclor „Strugurele de Aur”, ediția XXI 3 – 7 septembrie 2025 | Blaj și Jidvei</t>
  </si>
  <si>
    <t xml:space="preserve">2025-09-25</t>
  </si>
  <si>
    <t xml:space="preserve">Jidvei a lansat Vinars XO, în premieră internațională, la Paris</t>
  </si>
  <si>
    <t xml:space="preserve">2025-09-23</t>
  </si>
  <si>
    <t xml:space="preserve">Michelle Obama la IMPACT București. JIDVEI, vinul oficial al celui mai important eveniment de business &amp; tech din Europa de Sud-Est.</t>
  </si>
  <si>
    <t xml:space="preserve">2025-10-30</t>
  </si>
  <si>
    <t xml:space="preserve">Owner’s Choice Ana Fetească Regală, moștenirea generațiilor din inima Transilvaniei</t>
  </si>
  <si>
    <t xml:space="preserve">https://www.jidvei.ro/owners-choice-ana-feteasca-regala-mostenirea-generatiilor-din-inima-transilvaniei/</t>
  </si>
  <si>
    <t xml:space="preserve">2025-12-01</t>
  </si>
  <si>
    <t xml:space="preserve">Francezii dedică un festival culturii române. Jidvei aduce un omagiu spiritului românesc prin lansarea colecției “Spirit”, în premieră</t>
  </si>
  <si>
    <t xml:space="preserve">https://www.iqads.ro/articol/73953/francezii-dedica-un-festival-culturii-romane-jidvei-aduce-un-omagiu-spiritului</t>
  </si>
  <si>
    <t xml:space="preserve">Jidvei revine la Festivalul de Film de la Cannes în calitate de vin oficial al României</t>
  </si>
  <si>
    <t xml:space="preserve">https://www.iqads.ro/articol/75627/jidvei-revine-la-festivalul-de-film-de-la-cannes-in-calitate-de-vin-oficial-al</t>
  </si>
  <si>
    <t xml:space="preserve">Francezii dedică un festival culturii române. Jidvei aduce un omagiu spiritului românesc prin lansarea colecției „Spirit”, în premieră la Paris.</t>
  </si>
  <si>
    <t xml:space="preserve">2026-03-18</t>
  </si>
  <si>
    <t xml:space="preserve">Am deschis înscrierile pentru Jidvei Weinland Trails 2026. Singurul maraton printre vii din România</t>
  </si>
  <si>
    <t xml:space="preserve">https://www.jidvei.ro/am-deschis-inscrierile-pentru-jidvei-weinland-trails-2026-singurul-maraton-printre-vii-din-romania/</t>
  </si>
  <si>
    <t xml:space="preserve">2026-03-23</t>
  </si>
  <si>
    <t xml:space="preserve">Festivalul Național de Folclor Strugurele de Aur, o nouă întâlnire cu tinerii care duc tradiția mai departe</t>
  </si>
  <si>
    <t xml:space="preserve">https://www.jidvei.ro/festivalul-national-de-folclor-strugurele-de-aur-o-noua-intalnire-cu-tinerii-care-duc-traditia-mai-departe/</t>
  </si>
  <si>
    <t xml:space="preserve">2026-04-19</t>
  </si>
  <si>
    <t xml:space="preserve">Grand Palais a găzduit România. Jidvei a adus Transilvania la Festivalul de Carte de la Paris</t>
  </si>
  <si>
    <t xml:space="preserve">https://www.iqads.ro/articol/75328/grand-palais-a-gazduit-romania-jidvei-a-adus-transilvania-la-festivalul-de-carte</t>
  </si>
  <si>
    <t xml:space="preserve">2026-04-24</t>
  </si>
  <si>
    <t xml:space="preserve">Grand Palais găzduiește literatura română. Jidvei o însoțește la Festivalul de Carte de la Paris.</t>
  </si>
  <si>
    <t xml:space="preserve">2026-07-03</t>
  </si>
  <si>
    <t xml:space="preserve">Sebastian Stan, într-un interviu rar în limba română la Cannes, pentru seria JIDVEI „Vin la povești”</t>
  </si>
  <si>
    <t xml:space="preserve">https://www.iqads.ro/articol/75910/sebastian-stan-intr-un-interviu-rar-in-limba-romana-la-cannes-pentru-seria</t>
  </si>
  <si>
    <t xml:space="preserve">young.LILIAC, singurul vin care se transformă în fiecare an sub inspirația artiștilor contemporani din România</t>
  </si>
  <si>
    <t xml:space="preserve">https://www.iqads.ro/articol/57287/young-liliac-singurul-vin-care-se-transforma-in-fiecare-an-sub-inspiratia</t>
  </si>
  <si>
    <t xml:space="preserve">2023-08-29</t>
  </si>
  <si>
    <t xml:space="preserve">Lacrima lui Ovidiu</t>
  </si>
  <si>
    <t xml:space="preserve">https://murfatlar-vinul.ro/index.php/lacrima-lui-ovidiu/</t>
  </si>
  <si>
    <t xml:space="preserve">Jumătate vin, jumătate viață</t>
  </si>
  <si>
    <t xml:space="preserve">https://murfatlar-vinul.ro/jumatate-vin-jumatate-viata/</t>
  </si>
  <si>
    <t xml:space="preserve">2024-09-26</t>
  </si>
  <si>
    <t xml:space="preserve">Lacrima lui Ovidiu 12</t>
  </si>
  <si>
    <t xml:space="preserve">https://murfatlar-vinul.ro/lacrima-lui-ovidiu-12/</t>
  </si>
  <si>
    <t xml:space="preserve">Moștenire pentru viitor</t>
  </si>
  <si>
    <t xml:space="preserve">https://murfatlar-vinul.ro/mostenire-pentru-viitor/</t>
  </si>
  <si>
    <t xml:space="preserve">Aperitiv Mamaia</t>
  </si>
  <si>
    <t xml:space="preserve">https://murfatlar-vinul.ro/aperitiv-mamaia/</t>
  </si>
  <si>
    <t xml:space="preserve">Vermut Mamaia</t>
  </si>
  <si>
    <t xml:space="preserve">https://murfatlar-vinul.ro/vermut-mamaia/</t>
  </si>
  <si>
    <t xml:space="preserve">2026-07-20</t>
  </si>
  <si>
    <t xml:space="preserve">https://murfatlar-vinul.ro/aerosoli-prosecco/</t>
  </si>
  <si>
    <t xml:space="preserve">"Noi, nu! Niciodată", o campanie manifest semnată Purcari pentru încurajarea românilor de pretutindeni în perioada dificilă pe care o t</t>
  </si>
  <si>
    <t xml:space="preserve">https://www.iqads.ro/articol/62189/noi-nu-niciodata-o-campanie-manifest-semnata-purcari-pentru-incurajarea</t>
  </si>
  <si>
    <t xml:space="preserve">2023-03-07</t>
  </si>
  <si>
    <t xml:space="preserve">Château Purcari își menține titlul de cel mai bun producător din Moldova la Mundus Vini Spring Tasting 2023</t>
  </si>
  <si>
    <t xml:space="preserve">https://purcariwineries.com/chateau-purcari-isi-mentine-titlul-de-cel-mai-bun-producator-din-moldova-la-mundus-vini-spring-tasting-2023/</t>
  </si>
  <si>
    <t xml:space="preserve">2023-06-29</t>
  </si>
  <si>
    <t xml:space="preserve">Nocturne Night Run 2023</t>
  </si>
  <si>
    <t xml:space="preserve">https://purcariwineries.com/nocturne-run-night-2023/</t>
  </si>
  <si>
    <t xml:space="preserve">2023-06-14</t>
  </si>
  <si>
    <t xml:space="preserve">Rezultate de Aur pentru Château Purcari la Decanter World Wine Awards</t>
  </si>
  <si>
    <t xml:space="preserve">https://purcariwineries.com/rezultate-de-aur-pentru-chateau-purcari-la-decanter-world-wine-awards/</t>
  </si>
  <si>
    <t xml:space="preserve">2023-07-20</t>
  </si>
  <si>
    <t xml:space="preserve">Diez.md: Cum se creează un vin bun? Am fost în laboratoarele Purcari să aflăm cum e să faci o carieră în industria vinului în Moldova</t>
  </si>
  <si>
    <t xml:space="preserve">https://purcariwineries.com/diez-md-cum-se-creeaza-un-vin-bun-am-fost-in-laboratoarele-purcari-sa-aflam-cum-e-sa-faci-o-cariera-in-industria-vinului-in-moldova/</t>
  </si>
  <si>
    <t xml:space="preserve">Publicarea Rezultatelor Financiare pentru Semestru I, 2023</t>
  </si>
  <si>
    <t xml:space="preserve">https://purcariwineries.com/publicarea-rezultatelor-financiare-pentru-semestru-i-2023/</t>
  </si>
  <si>
    <t xml:space="preserve">Château Purcari la Balul Generozității (ediția a 10-a)</t>
  </si>
  <si>
    <t xml:space="preserve">https://purcariwineries.com/chateau-purcari-la-balul-generozitatii-editia-a-10-a/</t>
  </si>
  <si>
    <t xml:space="preserve">2023-09-22</t>
  </si>
  <si>
    <t xml:space="preserve">Festivalul Vinului Moldovei din București</t>
  </si>
  <si>
    <t xml:space="preserve">https://purcariwineries.com/festivalul-vinului-moldovei-din-bucuresti/</t>
  </si>
  <si>
    <t xml:space="preserve">2023-09-15</t>
  </si>
  <si>
    <t xml:space="preserve">Informare referitoare la comentarii media</t>
  </si>
  <si>
    <t xml:space="preserve">https://purcariwineries.com/informare-referitoare-la-comentarii-media/</t>
  </si>
  <si>
    <t xml:space="preserve">2023-09-29</t>
  </si>
  <si>
    <t xml:space="preserve">Teambuilding în Podgoria Onești</t>
  </si>
  <si>
    <t xml:space="preserve">https://purcariwineries.com/teambuilding-in-podgoria-onesti/</t>
  </si>
  <si>
    <t xml:space="preserve">Vizita Înaltului Reprezentant al Uniunii Europene pentru Afaceri Externe și Politica de Securitate, Josep Borrell, la Château Purcari</t>
  </si>
  <si>
    <t xml:space="preserve">https://purcariwineries.com/vizita-inaltului-reprezentant-al-uniunii-europene-pentru-afaceri-externe-si-politica-de-securitate-josep-borrell-la-chateau-purcari/</t>
  </si>
  <si>
    <t xml:space="preserve">Ziarul Financiar: Deschiderea de astăzi la Bursă. Eugeniu Baltag, Purcari: Am avut o primă jumătate de an foarte puternică. Creşterea din S1 vine în proporţie de două treimi din volume, iar restul din majorările de preţ</t>
  </si>
  <si>
    <t xml:space="preserve">https://purcariwineries.com/ziarul-financiar-deschiderea-de-astazi-la-bursa-eugeniu-baltag-purcari-am-avut-o-prima-jumatate-de-an-foarte-puternica-cresterea-din-s1-vine-in-proportie-de-doua-treimi-din-volume-iar-restul-din/</t>
  </si>
  <si>
    <t xml:space="preserve">2023-10-04</t>
  </si>
  <si>
    <t xml:space="preserve">Alexandru Filip devine Director General adjunct al Grupului de Vinării Purcari</t>
  </si>
  <si>
    <t xml:space="preserve">https://purcariwineries.com/purcari-il-numeste-pe-alexandru-filip-in-functie-de-director-general-adjunct/</t>
  </si>
  <si>
    <t xml:space="preserve">Purcari promovează produsele autohtone</t>
  </si>
  <si>
    <t xml:space="preserve">https://purcariwineries.com/purcari-promoveaza-produsele-autohtone/</t>
  </si>
  <si>
    <t xml:space="preserve">RO Wine – International Wine Festival of Romania</t>
  </si>
  <si>
    <t xml:space="preserve">https://purcariwineries.com/publication-of-the-annual-financial-report-for-2022-4/</t>
  </si>
  <si>
    <t xml:space="preserve">2023-10-07</t>
  </si>
  <si>
    <t xml:space="preserve">Ziua Națională a Vinului 2023</t>
  </si>
  <si>
    <t xml:space="preserve">https://purcariwineries.com/publication-of-the-annual-financial-report-for-2022-3/</t>
  </si>
  <si>
    <t xml:space="preserve">2023-10-06</t>
  </si>
  <si>
    <t xml:space="preserve">Începere program răscumpărare acțiuni proprii</t>
  </si>
  <si>
    <t xml:space="preserve">https://purcariwineries.com/incepere-program-rascumparare-actiuni-proprii/</t>
  </si>
  <si>
    <t xml:space="preserve">2023-11-09</t>
  </si>
  <si>
    <t xml:space="preserve">Diez.md: „E o industrie prestigioasă, cu condiții bune de plată.” Ce să știi dacă vrei o carieră în vinificație în Moldova</t>
  </si>
  <si>
    <t xml:space="preserve">https://purcariwineries.com/diez-md-e-o-industrie-prestigioasa-cu-conditii-bune-de-plata-ce-sa-stii-daca-vrei-o-cariera-in-vinificatie-in-moldova/</t>
  </si>
  <si>
    <t xml:space="preserve">Grupul de Vinării Purcari participă la Târgul Stagiilor de Practică, ediția a IV-a</t>
  </si>
  <si>
    <t xml:space="preserve">https://purcariwineries.com/grupul-de-vinarii-purcari-participa-la-targul-stagiilor-de-practica-editia-a-iv-a/</t>
  </si>
  <si>
    <t xml:space="preserve">2023-12-22</t>
  </si>
  <si>
    <t xml:space="preserve">Investim în educație. Lecții publice în parteneriat cu Academia de Studii Economice din Moldova</t>
  </si>
  <si>
    <t xml:space="preserve">https://purcariwineries.com/titlu/</t>
  </si>
  <si>
    <t xml:space="preserve">2023-12-09</t>
  </si>
  <si>
    <t xml:space="preserve">Spumantul Cuvée de Purcari Adamant Edition și-a făcut apariția în lumina reflectoarelor!</t>
  </si>
  <si>
    <t xml:space="preserve">2023-12-01</t>
  </si>
  <si>
    <t xml:space="preserve">Știri.md: Divinurile Bardar – Calitate apreciată la nivel mondial</t>
  </si>
  <si>
    <t xml:space="preserve">https://purcariwineries.com/stiri-md-divinurile-bardar-calitate-apreciata-la-nivel-mondial/</t>
  </si>
  <si>
    <t xml:space="preserve">Agrobiznes.md: Purcari Wineries Grup se extinde în Turcia</t>
  </si>
  <si>
    <t xml:space="preserve">https://purcariwineries.com/agrobiznes-md-purcari-wineries-grup-se-extinde-in-turcia/</t>
  </si>
  <si>
    <t xml:space="preserve">2024-01-31</t>
  </si>
  <si>
    <t xml:space="preserve">Purcari Wineries Group se alătură Târgului de Internship, ediția a 4-a.</t>
  </si>
  <si>
    <t xml:space="preserve">https://purcariwineries.com/purcari-wineries-group-se-alatura-targului-de-internship-editia-a-4-a/</t>
  </si>
  <si>
    <t xml:space="preserve">2024-01-30</t>
  </si>
  <si>
    <t xml:space="preserve">Purcari Wineries obține un scor de 10/10 pentru Comunicarea cu Investitorii, al patrulea an consecutiv</t>
  </si>
  <si>
    <t xml:space="preserve">https://purcariwineries.com/purcari-wineries-obtine-un-scor-de-10-10-pentru-comunicarea-cu-investitorii-al-patrulea-an-consecutiv/</t>
  </si>
  <si>
    <t xml:space="preserve">Retrospectiva 2023 pentru Grupul de Vinării Purcari</t>
  </si>
  <si>
    <t xml:space="preserve">https://purcariwineries.com/retrospectiva-2023-pentru-grupul-de-vinarii-purcari/</t>
  </si>
  <si>
    <t xml:space="preserve">Retrospectiva anului 2023 pentru Purcari Wineries Group</t>
  </si>
  <si>
    <t xml:space="preserve">https://purcariwineries.com/retrospectiva-anului-2023-pentru-purcari-wineries-group/</t>
  </si>
  <si>
    <t xml:space="preserve">Château Purcari în top 5 cele mai de succes vinării ale anului 2024, la nivel mondial</t>
  </si>
  <si>
    <t xml:space="preserve">https://purcariwineries.com/chateau-purcari-in-top-5-cele-mai-de-succes-vinarii-ale-anului-2024-la-nivel-mondial/</t>
  </si>
  <si>
    <t xml:space="preserve">2024-02-13</t>
  </si>
  <si>
    <t xml:space="preserve">Decanter: Château Purcari, emblema Moldovei</t>
  </si>
  <si>
    <t xml:space="preserve">https://purcariwineries.com/decanter-chateau-purcari-emblema-moldovei/</t>
  </si>
  <si>
    <t xml:space="preserve">Grupul de Vinării Purcari în Revista Decanter</t>
  </si>
  <si>
    <t xml:space="preserve">https://purcariwineries.com/grupul-de-vinarii-purcari-in-revista-decanter/</t>
  </si>
  <si>
    <t xml:space="preserve">2024-02-05</t>
  </si>
  <si>
    <t xml:space="preserve">Ne asumăm un angajament față de educație. Lecții publice în parteneriat cu Academia de Studii Economice din Moldova</t>
  </si>
  <si>
    <t xml:space="preserve">https://purcariwineries.com/ne-asumam-un-angajament-fata-de-educatie-lectii-publice-in-parteneriat-cu-academia-de-studii-economice-din-moldova/</t>
  </si>
  <si>
    <t xml:space="preserve">RFI.ro: Vinăriile moldoveneşti, prezente pentru prima dată la salonul Wine Paris/Vinexpo</t>
  </si>
  <si>
    <t xml:space="preserve">https://purcariwineries.com/rfi-ro-vinariile-moldovenesti-prezente-pentru-prima-data-la-salonul-wine-paris-vinexpo/</t>
  </si>
  <si>
    <t xml:space="preserve">8Wines inclus în FT 1000: clasamentul companiilor cu cea mai rapidă creștere din Europa</t>
  </si>
  <si>
    <t xml:space="preserve">https://purcariwineries.com/8wines-inclus-in-ft-1000-clasamentul-companiilor-cu-cea-mai-rapida-crestere-din-europa/</t>
  </si>
  <si>
    <t xml:space="preserve">Château Purcari în top 3 cele mai premiate vinării din lume</t>
  </si>
  <si>
    <t xml:space="preserve">https://purcariwineries.com/chateau-purcari-in-top-3-cele-mai-premiate-vinarii-din-lume/</t>
  </si>
  <si>
    <t xml:space="preserve">2024-03-07</t>
  </si>
  <si>
    <t xml:space="preserve">Directorul IR al Purcari Wineries Group, Eugeniu Baltag, la cea de-a 3-a ediție a evenimentului Quarterly Report by TradeVille</t>
  </si>
  <si>
    <t xml:space="preserve">https://purcariwineries.com/directorul-ir-al-purcari-wineries-group-eugeniu-baltag-la-cea-de-a-3-a-editie-a-evenimentului-quarterly-report-by-tradeville/</t>
  </si>
  <si>
    <t xml:space="preserve">2024-03-06</t>
  </si>
  <si>
    <t xml:space="preserve">Rezultate Berliner Wine Trophy 2024</t>
  </si>
  <si>
    <t xml:space="preserve">https://purcariwineries.com/rezultate-berliner-wine-trophy-2024/</t>
  </si>
  <si>
    <t xml:space="preserve">Rezultate Concours International de Lyon, ediția 2024</t>
  </si>
  <si>
    <t xml:space="preserve">https://purcariwineries.com/rezultate-concours-international-de-lyon-editia-2024/</t>
  </si>
  <si>
    <t xml:space="preserve">2024-03-11</t>
  </si>
  <si>
    <t xml:space="preserve">Rezultate Vinalies Internationales, ediția 2024</t>
  </si>
  <si>
    <t xml:space="preserve">https://purcariwineries.com/rezultate-vinalies-internationales-editia-2024/</t>
  </si>
  <si>
    <t xml:space="preserve">2024-03-21</t>
  </si>
  <si>
    <t xml:space="preserve">Ziare.com: Eugeniu Baltag (Purcari) la Quarterly Report 3: ”În 2023 am fost în top 4 performeri la BVB”</t>
  </si>
  <si>
    <t xml:space="preserve">https://purcariwineries.com/ziare-com-eugeniu-baltag-purcari-la-quarterly-report-3-in-2023-am-fost-in-top-4-performeri-la-bvb/</t>
  </si>
  <si>
    <t xml:space="preserve">2024-04-15</t>
  </si>
  <si>
    <t xml:space="preserve">Grupul de Vinării Purcari la Zurs Investor Conference</t>
  </si>
  <si>
    <t xml:space="preserve">https://purcariwineries.com/grupul-de-vinarii-purcari-la-zurs-investor-conference/</t>
  </si>
  <si>
    <t xml:space="preserve">2024-04-01</t>
  </si>
  <si>
    <t xml:space="preserve">Purcari Wineries Group achiziționează Timbrus Purcari Estate</t>
  </si>
  <si>
    <t xml:space="preserve">https://purcariwineries.com/purcari-wineries-group-achizitioneaza-timbrus-purcari-estate/</t>
  </si>
  <si>
    <t xml:space="preserve">2024-04-25</t>
  </si>
  <si>
    <t xml:space="preserve">Purcari sprijină inițiativele culturale: Cea de-a 30-a ediție a concursului „Moștenire”</t>
  </si>
  <si>
    <t xml:space="preserve">https://purcariwineries.com/purcari-sprijina-initiativele-culturale-cea-de-a-30-a-editie-a-concursului-mostenire/</t>
  </si>
  <si>
    <t xml:space="preserve">Vizita echipei Purcari Wineries Group la Amorim Cork</t>
  </si>
  <si>
    <t xml:space="preserve">https://purcariwineries.com/vizita-echipei-purcari-wineries-group-la-amorim-cork/</t>
  </si>
  <si>
    <t xml:space="preserve">2024-05-21</t>
  </si>
  <si>
    <t xml:space="preserve">(Galerie Foto) Plantare simbolică de Rară Neagră</t>
  </si>
  <si>
    <t xml:space="preserve">https://purcariwineries.com/galerie-foto-plantare-simbolica-de-rara-neagra/</t>
  </si>
  <si>
    <t xml:space="preserve">Plantare simbolică de Rară Neagră la Château Purcari</t>
  </si>
  <si>
    <t xml:space="preserve">https://purcariwineries.com/plantare-simbolica-de-rara-neagra-la-chateau-purcari/</t>
  </si>
  <si>
    <t xml:space="preserve">Raport Financiar T1 ’24: Veniturile Purcari în creștere cu 11% in T1 și cu 18% în primele patru luni ale anului 2024</t>
  </si>
  <si>
    <t xml:space="preserve">https://purcariwineries.com/raport-financiar-1t-24-veniturile-purcari-in-crestere-cu-11-in-t1-si-cu-18-in-primele-patru-luni-ale-anului-2024/</t>
  </si>
  <si>
    <t xml:space="preserve">Susținem valorile olimpice!</t>
  </si>
  <si>
    <t xml:space="preserve">https://purcariwineries.com/sustinem-valorile-olimpice/</t>
  </si>
  <si>
    <t xml:space="preserve">2024-06-03</t>
  </si>
  <si>
    <t xml:space="preserve">(Galerie Foto) Romanian Design Week</t>
  </si>
  <si>
    <t xml:space="preserve">https://purcariwineries.com/galerie-foto-romanian-design-week/</t>
  </si>
  <si>
    <t xml:space="preserve">2024-06-13</t>
  </si>
  <si>
    <t xml:space="preserve">(Galerie foto) Nocturne Night Run, ediția 2024</t>
  </si>
  <si>
    <t xml:space="preserve">https://purcariwineries.com/galerie-foto-nocturne-night-run-editia-2024/</t>
  </si>
  <si>
    <t xml:space="preserve">2024-06-06</t>
  </si>
  <si>
    <t xml:space="preserve">Château Purcari susține adevăratele valori</t>
  </si>
  <si>
    <t xml:space="preserve">https://purcariwineries.com/chateau-purcari-sustine-adevaratele-valori/</t>
  </si>
  <si>
    <t xml:space="preserve">2024-06-07</t>
  </si>
  <si>
    <t xml:space="preserve">Descoperă Gama de Spumante Cuvée</t>
  </si>
  <si>
    <t xml:space="preserve">https://purcariwineries.com/descopera-gama-de-spumante-cuvees/</t>
  </si>
  <si>
    <t xml:space="preserve">Nocturne Night Run, ediția 2024</t>
  </si>
  <si>
    <t xml:space="preserve">https://purcariwineries.com/nocturne-night-run-editia-2024/</t>
  </si>
  <si>
    <t xml:space="preserve">2024-06-04</t>
  </si>
  <si>
    <t xml:space="preserve">Președintele Camerei Reprezentanților Parlamentului Irlandei oaspete la Purcari</t>
  </si>
  <si>
    <t xml:space="preserve">https://purcariwineries.com/vizita-la-chateau-purcari/</t>
  </si>
  <si>
    <t xml:space="preserve">2024-06-20</t>
  </si>
  <si>
    <t xml:space="preserve">Rezultate Decanter 2024</t>
  </si>
  <si>
    <t xml:space="preserve">Romanian Design Week</t>
  </si>
  <si>
    <t xml:space="preserve">https://purcariwineries.com/romanian-design-week/</t>
  </si>
  <si>
    <t xml:space="preserve">2024-07-04</t>
  </si>
  <si>
    <t xml:space="preserve">#Purcari crede în puterea comunităților</t>
  </si>
  <si>
    <t xml:space="preserve">https://purcariwineries.com/purcari-crede-in-puterea-comunitatilor/</t>
  </si>
  <si>
    <t xml:space="preserve">2024-07-11</t>
  </si>
  <si>
    <t xml:space="preserve">(Galerie Foto) Jazz in the Park</t>
  </si>
  <si>
    <t xml:space="preserve">https://purcariwineries.com/galerie-foto-jazz-in-the-park/</t>
  </si>
  <si>
    <t xml:space="preserve">2024-07-05</t>
  </si>
  <si>
    <t xml:space="preserve">Facilitarea proceselor de export in China pentru produsele din Moldova</t>
  </si>
  <si>
    <t xml:space="preserve">https://purcariwineries.com/sinergii-pentru-calitate/</t>
  </si>
  <si>
    <t xml:space="preserve">2024-07-29</t>
  </si>
  <si>
    <t xml:space="preserve">Purcari Wineries Announces Investor Day on October 4, 2024</t>
  </si>
  <si>
    <t xml:space="preserve">https://purcariwineries.com/purcari-wineries-announces-investor-day-on-october-4-2024/</t>
  </si>
  <si>
    <t xml:space="preserve">Purcari Wineries Group sprijină viitoarele talente, oferind suport studenților pe drumul lor educațional</t>
  </si>
  <si>
    <t xml:space="preserve">https://purcariwineries.com/9167/</t>
  </si>
  <si>
    <t xml:space="preserve">Purcari Wineries lansează Vintech Innovations pentru a conduce transformarea digitală</t>
  </si>
  <si>
    <t xml:space="preserve">https://purcariwineries.com/purcari-wineries-lanseaza-vintech-innovations-pentru-a-conduce-transformarea-digitala/</t>
  </si>
  <si>
    <t xml:space="preserve">Purcari Wineries publică Raportul de Sustenabilitate pentru 2023</t>
  </si>
  <si>
    <t xml:space="preserve">https://purcariwineries.com/purcari-wineries-publica-raportul-de-sustenabilitate-pentru-2023/</t>
  </si>
  <si>
    <t xml:space="preserve">Purcari Wineries își publică Raportul de durabilitate 2023</t>
  </si>
  <si>
    <t xml:space="preserve">https://purcariwineries.com/purcari-wineries-isi-publica-raportul-de-durabilitate-2023/</t>
  </si>
  <si>
    <t xml:space="preserve">2024-07-25</t>
  </si>
  <si>
    <t xml:space="preserve">Purcari susține Valorile Olimpice și pe sportivii care visează să-și depășească limitele</t>
  </si>
  <si>
    <t xml:space="preserve">https://purcariwineries.com/purcari-sustine-valorile-olimpice-si-pe-sportivii-care-viseaza-sa-si-depaseasca-limitele/</t>
  </si>
  <si>
    <t xml:space="preserve">2024-07-17</t>
  </si>
  <si>
    <t xml:space="preserve">Purcari susține valorile olimpice!</t>
  </si>
  <si>
    <t xml:space="preserve">https://purcariwineries.com/purcari-sustine-valorile-olimpice-2/</t>
  </si>
  <si>
    <t xml:space="preserve">Vinuri cu Indicație Geografică „Valul lui Traian”</t>
  </si>
  <si>
    <t xml:space="preserve">https://purcariwineries.com/vinuri-cu-indicatie-geografica-valul-lui-traian/</t>
  </si>
  <si>
    <t xml:space="preserve">2024-08-09</t>
  </si>
  <si>
    <t xml:space="preserve">Purcari demarează proiectul Rara Neagră 2.0</t>
  </si>
  <si>
    <t xml:space="preserve">2024-08-23</t>
  </si>
  <si>
    <t xml:space="preserve">Raport Financiar S1 2024: EBITDA și Profitul Net Purcari cresc cu 38% și 44% în T2 2024</t>
  </si>
  <si>
    <t xml:space="preserve">https://purcariwineries.com/raport-financiar-s1-2024-ebitda-si-profitul-net-purcari-cresc-cu-38-si-44-in-t2-2024/</t>
  </si>
  <si>
    <t xml:space="preserve">2024-08-12</t>
  </si>
  <si>
    <t xml:space="preserve">Sărbătorim împreună, succesul olimpicilor!</t>
  </si>
  <si>
    <t xml:space="preserve">https://purcariwineries.com/purcari-sprijina-valorile-olimpice/</t>
  </si>
  <si>
    <t xml:space="preserve">Gama Sapiens – Produs de om, creat de natură</t>
  </si>
  <si>
    <t xml:space="preserve">https://purcariwineries.com/gama-sapiens-produs-de-om-creat-de-natura/</t>
  </si>
  <si>
    <t xml:space="preserve">2024-10-08</t>
  </si>
  <si>
    <t xml:space="preserve">(Galerie Foto) Ziua Vinului 2024</t>
  </si>
  <si>
    <t xml:space="preserve">https://purcariwineries.com/galerie-foto-ziua-vinului-2024/</t>
  </si>
  <si>
    <t xml:space="preserve">2024-10-04</t>
  </si>
  <si>
    <t xml:space="preserve">Purcari lansează noua strategie: 2X by 200 – cu obiectivul de a dubla principalii indicatori operaționali până la bicentenarul companiei în 2027</t>
  </si>
  <si>
    <t xml:space="preserve">https://purcariwineries.com/purcari-lanseaza-noua-strategie-2x-by-200-cu-obiectivul-de-a-dubla-principalii-indicatori-operationali-pana-la-bicentenarul-companiei-in-2027/</t>
  </si>
  <si>
    <t xml:space="preserve">2024-10-10</t>
  </si>
  <si>
    <t xml:space="preserve">Ziua Investitorului 2024</t>
  </si>
  <si>
    <t xml:space="preserve">https://purcariwineries.com/investor-day-2024/</t>
  </si>
  <si>
    <t xml:space="preserve">2024-11-13</t>
  </si>
  <si>
    <t xml:space="preserve">Pentru Purcari aurul e standardul. Numele ne obligă</t>
  </si>
  <si>
    <t xml:space="preserve">https://purcariwineries.com/pentru-purcari-aurul-e-standardul-numele-ne-obliga/</t>
  </si>
  <si>
    <t xml:space="preserve">2024-11-27</t>
  </si>
  <si>
    <t xml:space="preserve">Purcari Wineries Group a obținut 15 diplome la concursul Wine of Moldova</t>
  </si>
  <si>
    <t xml:space="preserve">https://purcariwineries.com/purcari-wineries-group-a-obtinut-15-diplome-la-concursul-wine-of-moldova/</t>
  </si>
  <si>
    <t xml:space="preserve">2024-11-15</t>
  </si>
  <si>
    <t xml:space="preserve">Raport Financiar T3 2024: Purcari înregistrează o creștere puternică de +19% a profitului brut la 9 luni și o marjă EBITDA solidă de 33%</t>
  </si>
  <si>
    <t xml:space="preserve">https://purcariwineries.com/raport-financiar-t3-2024-purcari-inregistreaza-o-crestere-puternica-de-19-a-profitului-brut-la-9-luni-si-o-marja-ebitda-solida-de-33/</t>
  </si>
  <si>
    <t xml:space="preserve">2024-12-04</t>
  </si>
  <si>
    <t xml:space="preserve">Purcari Wineries anunță parteneriatul cu legendarul antrenor Mircea Lucescu, în calitate de ambasador și investitor minoritar</t>
  </si>
  <si>
    <t xml:space="preserve">https://purcariwineries.com/purcari-wineries-anunta-parteneriatul-cu-legendarul-antrenor-mircea-lucescu-in-calitate-de-ambasador-si-investitor-minoritar/</t>
  </si>
  <si>
    <t xml:space="preserve">2025-01-30</t>
  </si>
  <si>
    <t xml:space="preserve">Purcari Wineries obține din nou un scor de 10/10 în VEKTOR</t>
  </si>
  <si>
    <t xml:space="preserve">https://purcariwineries.com/purcari-wineries-obtine-din-nou-un-scor-de-10-10-in-vektor/</t>
  </si>
  <si>
    <t xml:space="preserve">2025-03-18</t>
  </si>
  <si>
    <t xml:space="preserve">Château Purcari iese din tipare și lansează vinul Orange</t>
  </si>
  <si>
    <t xml:space="preserve">2025-03-06</t>
  </si>
  <si>
    <t xml:space="preserve">Château Purcari își menține Aurul la Mundus Vini Spring Tasting 2025</t>
  </si>
  <si>
    <t xml:space="preserve">https://purcariwineries.com/chateau-purcari-isi-mentine-aurul-la-mundus-vini-spring-tasting-2025/</t>
  </si>
  <si>
    <t xml:space="preserve">2025-03-03</t>
  </si>
  <si>
    <t xml:space="preserve">Lansarea Negru de Purcari Amphorae Edition – o seară dedicată vinului și rafinamentului</t>
  </si>
  <si>
    <t xml:space="preserve">https://purcariwineries.com/lansarea-negru-de-purcari-amphorae-edition-o-seara-dedicata-vinului-si-rafinamentului/</t>
  </si>
  <si>
    <t xml:space="preserve">În 2025, Purcari te-a dus la cele mai tari festivaluri</t>
  </si>
  <si>
    <t xml:space="preserve">https://purcariwineries.com/in-2025-purcari-te-a-dus-la-cele-mai-tari-festivaluri/</t>
  </si>
  <si>
    <t xml:space="preserve">2025-05-27</t>
  </si>
  <si>
    <t xml:space="preserve">Château Purcari, partener la Romanian Design Week 2025 pentru al doilea an consecutiv</t>
  </si>
  <si>
    <t xml:space="preserve">2025-06-25</t>
  </si>
  <si>
    <t xml:space="preserve">Château Purcari, destinație-cheie în cadrul Congresului Mondial al Viei și Vinului</t>
  </si>
  <si>
    <t xml:space="preserve">https://purcariwineries.com/chateau-purcari-destinatie-cheie-in-cadrul-congresului-mondial-al-viei-si-vinului/</t>
  </si>
  <si>
    <t xml:space="preserve">Ne reîntoarcem la Londra: Purcari primește două nominalizări la IR Impact Awards – Europe 2025</t>
  </si>
  <si>
    <t xml:space="preserve">https://purcariwineries.com/ne-reintoarcem-la-londra-purcari-primeste-doua-nominalizari-la-ir-impact-awards-europe-2025/</t>
  </si>
  <si>
    <t xml:space="preserve">2025-06-27</t>
  </si>
  <si>
    <t xml:space="preserve">Nocturne Night Run, ediția 2025</t>
  </si>
  <si>
    <t xml:space="preserve">https://purcariwineries.com/nocturne-night-run-editia-2025/</t>
  </si>
  <si>
    <t xml:space="preserve">La mulți ani, Domnule Mircea Lucescu!</t>
  </si>
  <si>
    <t xml:space="preserve">https://purcariwineries.com/la-multi-ani-domnule-mircea-lucescu/</t>
  </si>
  <si>
    <t xml:space="preserve">2025-07-07</t>
  </si>
  <si>
    <t xml:space="preserve">Succes internațional pentru Purcari: Victoria Moldovan – Rising Star în Investor Relations la IR Impact Awards 2025</t>
  </si>
  <si>
    <t xml:space="preserve">https://purcariwineries.com/succes-international-pentru-purcari-victoria-moldovan-rising-star-in-investor-relations-la-ir-impact-awards-2025/</t>
  </si>
  <si>
    <t xml:space="preserve">2025-09-08</t>
  </si>
  <si>
    <t xml:space="preserve">Château Purcari, gazda Galei Dinner a Concours Mondial de Bruxelles – Sparkling Session 2025</t>
  </si>
  <si>
    <t xml:space="preserve">https://purcariwineries.com/chateau-purcari-gazda-galei-dinner-a-concours-mondial-de-bruxelles-sparkling-session-2025/</t>
  </si>
  <si>
    <t xml:space="preserve">2025-10-27</t>
  </si>
  <si>
    <t xml:space="preserve">Grupul de Vinării Purcari lansează un Proiect unic de susținere a tinerilor specialiști – „BURSA PURCARI” în două Școli Profesionale din țară</t>
  </si>
  <si>
    <t xml:space="preserve">https://purcariwineries.com/grupul-de-vinarii-purcari-lanseaza-un-proiect-unic-de-sustinere-a-tinerilor-specialisti-bursa-purcari-in-doua-scoli-profesionale-din-tara/</t>
  </si>
  <si>
    <t xml:space="preserve">2025-10-31</t>
  </si>
  <si>
    <t xml:space="preserve">Industria vinului din Moldova transformă provocările în oportunități globale</t>
  </si>
  <si>
    <t xml:space="preserve">https://purcariwineries.com/industria-vinului-din-moldova-transforma-provocarile-in-oportunitati-globale/</t>
  </si>
  <si>
    <t xml:space="preserve">2025-10-17</t>
  </si>
  <si>
    <t xml:space="preserve">Purcari Wineries, între tradiție și inovație: Grupul Purcari sprijină soluțiile sustenabile prin parteneriatul cu 4Sir2</t>
  </si>
  <si>
    <t xml:space="preserve">https://purcariwineries.com/grupul-purcari-sprijina-solutiile-sustenabile-prin-parteneriatul-cu-4sir2/</t>
  </si>
  <si>
    <t xml:space="preserve">2025-11-12</t>
  </si>
  <si>
    <t xml:space="preserve">Purcari Wineries inspiră noua generație de vinificatori printr-un Masterclass dedicat studenților UTM</t>
  </si>
  <si>
    <t xml:space="preserve">https://purcariwineries.com/purcari-wineries-inspira-noua-generatie-de-vinificatori-printr-un-masterclass-dedicat-studentilor-utm/</t>
  </si>
  <si>
    <t xml:space="preserve">2025-11-07</t>
  </si>
  <si>
    <t xml:space="preserve">Vinul – ambasadorul care a vorbit Europei despre Moldova</t>
  </si>
  <si>
    <t xml:space="preserve">https://purcariwineries.com/vinul-ambasadorul-care-a-vorbit-europei-despre-moldova/</t>
  </si>
  <si>
    <t xml:space="preserve">2026-02-27</t>
  </si>
  <si>
    <t xml:space="preserve">Oameni care duc vinul mai departe. Prin știință. Prin viziune.</t>
  </si>
  <si>
    <t xml:space="preserve">https://purcariwineries.com/oameni-care-duc-vinul-mai-departe-prin-stiinta-prin-viziune/</t>
  </si>
  <si>
    <t xml:space="preserve">2026-03-03</t>
  </si>
  <si>
    <t xml:space="preserve">Best Producer Moldova la Mundus Vini Spring Tasting 2026</t>
  </si>
  <si>
    <t xml:space="preserve">https://purcariwineries.com/best-producer-moldova-la-mundus-vini-spring-tasting-2026/</t>
  </si>
  <si>
    <t xml:space="preserve">2026-03-13</t>
  </si>
  <si>
    <t xml:space="preserve">Primele rezultate ale monitorizării biodiversității în podgoriile Château Purcari</t>
  </si>
  <si>
    <t xml:space="preserve">Un nou capitol pentru Purcari Wineries</t>
  </si>
  <si>
    <t xml:space="preserve">https://purcariwineries.com/un-nou-capitol-pentru-purcari-wineries/</t>
  </si>
  <si>
    <t xml:space="preserve">Vinurile Purcari, premiate cu 7 medalii Gold la Berliner Wine Trophy</t>
  </si>
  <si>
    <t xml:space="preserve">https://purcariwineries.com/vinurile-purcari-premiate-cu-7-medalii-gold-la-berliner-wine-trophy/</t>
  </si>
  <si>
    <t xml:space="preserve">2026-04-28</t>
  </si>
  <si>
    <t xml:space="preserve">Aur pentru Purcari la London Wine Competition 2026</t>
  </si>
  <si>
    <t xml:space="preserve">https://purcariwineries.com/aur-pentru-purcari-la-london-wine-competition-2026/</t>
  </si>
  <si>
    <t xml:space="preserve">2026-04-23</t>
  </si>
  <si>
    <t xml:space="preserve">Noi medalii de aur pentru Purcari la Concours Mondial de Bruxelles</t>
  </si>
  <si>
    <t xml:space="preserve">https://purcariwineries.com/noi-medalii-de-aur-pentru-purcari-la-concours-mondial-de-bruxelles/</t>
  </si>
  <si>
    <t xml:space="preserve">2026-04-03</t>
  </si>
  <si>
    <t xml:space="preserve">Purcari Wineries se extinde în Vrancea</t>
  </si>
  <si>
    <t xml:space="preserve">2026-04-16</t>
  </si>
  <si>
    <t xml:space="preserve">Purcari câștigă 3 medalii de aur la Concours Mondial de Bruxelles, Rosé Session 2026</t>
  </si>
  <si>
    <t xml:space="preserve">https://purcariwineries.com/purcari-castiga-3-medalii-de-aur-la-concours-mondial-de-bruxelles-rose-session-2026/</t>
  </si>
  <si>
    <t xml:space="preserve">2026-04-09</t>
  </si>
  <si>
    <t xml:space="preserve">Purcari câștigă 5 medalii de Aur la Challenge International du Vin 2026</t>
  </si>
  <si>
    <t xml:space="preserve">https://purcariwineries.com/purcari-castiga-5-medalii-de-aur-la-challenge-international-du-vin-2026/</t>
  </si>
  <si>
    <t xml:space="preserve">Purcari obține 7 medalii la Vinalies Internationales 2026, inclusiv două Grand Gold</t>
  </si>
  <si>
    <t xml:space="preserve">https://purcariwineries.com/purcari-obtine-7-medalii-la-vinalies-internationales-2026-inclusiv-doua-grand-gold/</t>
  </si>
  <si>
    <t xml:space="preserve">2026-05-06</t>
  </si>
  <si>
    <t xml:space="preserve">Purcari Wineries Group, distins la Forbes Moldova Summit &amp; Awards Gala 2026</t>
  </si>
  <si>
    <t xml:space="preserve">https://purcariwineries.com/purcari-wineries-group-distins-la-forbes-moldova-summit-awards-gala-2026/</t>
  </si>
  <si>
    <t xml:space="preserve">2026-06-18</t>
  </si>
  <si>
    <t xml:space="preserve">Aur și Argint pentru Purcari la Decanter World Wine Awards 2026</t>
  </si>
  <si>
    <t xml:space="preserve">https://purcariwineries.com/aur-si-argint-pentru-purcari-la-decanter-world-wine-awards-2026/</t>
  </si>
  <si>
    <t xml:space="preserve">2026-06-16</t>
  </si>
  <si>
    <t xml:space="preserve">Grand Gold pentru Purcari la Concours Mondial de Bruxelles 2026</t>
  </si>
  <si>
    <t xml:space="preserve">https://purcariwineries.com/grand-gold-pentru-purcari-la-concours-mondial-de-bruxelles-2026/</t>
  </si>
  <si>
    <t xml:space="preserve">2026-06-22</t>
  </si>
  <si>
    <t xml:space="preserve">Nocturne Night Run – ediția 2026</t>
  </si>
  <si>
    <t xml:space="preserve">2026-06-15</t>
  </si>
  <si>
    <t xml:space="preserve">Noi medalii de aur pentru Purcari la VINARIUM 2026</t>
  </si>
  <si>
    <t xml:space="preserve">https://purcariwineries.com/noi-medalii-de-aur-pentru-purcari-la-vinarium-2026/</t>
  </si>
  <si>
    <t xml:space="preserve">2022-02-27</t>
  </si>
  <si>
    <t xml:space="preserve">Anunț Acord de mediu</t>
  </si>
  <si>
    <t xml:space="preserve">https://serve.ro/ro/anunt-acord-de-mediu/</t>
  </si>
  <si>
    <t xml:space="preserve">2024-12-31</t>
  </si>
  <si>
    <t xml:space="preserve">The Dictionary of Wine</t>
  </si>
  <si>
    <t xml:space="preserve">https://serve.ro/the-dictionary-of-wine/</t>
  </si>
  <si>
    <t xml:space="preserve">2026-02-16</t>
  </si>
  <si>
    <t xml:space="preserve">Alegerile noastre</t>
  </si>
  <si>
    <t xml:space="preserve">https://serve.ro/ro/alegerile-noastre/</t>
  </si>
  <si>
    <t xml:space="preserve">Dicționar de termeni viticoli</t>
  </si>
  <si>
    <t xml:space="preserve">https://serve.ro/ro/dictionar-de-termeni-viticoli/</t>
  </si>
  <si>
    <t xml:space="preserve">Environmental announcement</t>
  </si>
  <si>
    <t xml:space="preserve">https://serve.ro/environmental-announcement/</t>
  </si>
  <si>
    <t xml:space="preserve">2026-02-28</t>
  </si>
  <si>
    <t xml:space="preserve">Feteasca Neagră @ SERVE</t>
  </si>
  <si>
    <t xml:space="preserve">https://serve.ro/feteasca-neagra-serve-2/</t>
  </si>
  <si>
    <t xml:space="preserve">2026-02-26</t>
  </si>
  <si>
    <t xml:space="preserve">The Making of SERVE Wine</t>
  </si>
  <si>
    <t xml:space="preserve">https://serve.ro/the-making-of-serve-wine/</t>
  </si>
  <si>
    <t xml:space="preserve">„Making of” SERVE wine</t>
  </si>
  <si>
    <t xml:space="preserve">https://serve.ro/ro/making-of-serve-wine/</t>
  </si>
  <si>
    <t xml:space="preserve">Crama SERVE este acum parte din Grupul Purcari Wineries</t>
  </si>
  <si>
    <t xml:space="preserve">https://serve.ro/ro/crama-serve-este-acum-parte-din-grupul-purcari-wineries/</t>
  </si>
  <si>
    <t xml:space="preserve">SERVE Winery is now part of the Purcari Wineries Group</t>
  </si>
  <si>
    <t xml:space="preserve">https://serve.ro/serve-winery-is-now-part-of-purcari-wineries-group/</t>
  </si>
  <si>
    <t xml:space="preserve">Tohani România, mutare în enoturism experiențial: compania cheamă publicul la cules în vie, la Moșia de la Tohani</t>
  </si>
  <si>
    <t xml:space="preserve">2022-06-21</t>
  </si>
  <si>
    <t xml:space="preserve">Ce voiai să știi despre dopul de vin spumant și nu ți-a spus nimeni până acum?</t>
  </si>
  <si>
    <t xml:space="preserve">https://zarea.ro/despre-dopul-de-vin-spumant/</t>
  </si>
  <si>
    <t xml:space="preserve">ZAREA Free 0,0% – libertate fără alcool</t>
  </si>
  <si>
    <t xml:space="preserve">https://zarea.ro/zarea-free-libertate-fara-alcool/</t>
  </si>
  <si>
    <t xml:space="preserve">2022-07-07</t>
  </si>
  <si>
    <t xml:space="preserve">7 motive pentru care un #vinspumant este cea mai bună băutură de vară</t>
  </si>
  <si>
    <t xml:space="preserve">https://zarea.ro/7-motive-vin-spumant-cea-mai-buna-bautura-vara/</t>
  </si>
  <si>
    <t xml:space="preserve">2022-07-28</t>
  </si>
  <si>
    <t xml:space="preserve">Starea de bine și vinul spumant</t>
  </si>
  <si>
    <t xml:space="preserve">https://zarea.ro/starea-de-bine-si-vinul-spumant/</t>
  </si>
  <si>
    <t xml:space="preserve">2022-08-26</t>
  </si>
  <si>
    <t xml:space="preserve">TOTUL despre bule</t>
  </si>
  <si>
    <t xml:space="preserve">https://zarea.ro/totul-despre-bule/</t>
  </si>
  <si>
    <t xml:space="preserve">2023-02-28</t>
  </si>
  <si>
    <t xml:space="preserve">ZAREA intră pe piața vinurilor de calitate alături de grupul de firme Domeniile Dealu Mare Urlaţi, fondat de familia Rădulescu</t>
  </si>
  <si>
    <t xml:space="preserve">https://zarea.ro/zarea-intra-pe-piata-vinurilor-de-calitate-alaturi-de-grupul-de-firme-domeniile-dealu-mare-urlati-fondat-de-familia-radulescu/</t>
  </si>
  <si>
    <t xml:space="preserve">Vizită la Crama ZAREA</t>
  </si>
  <si>
    <t xml:space="preserve">https://zarea.ro/vizita-la-crama-zarea/</t>
  </si>
  <si>
    <t xml:space="preserve">2025-11-26</t>
  </si>
  <si>
    <t xml:space="preserve">ZAREA își întărește echipa cu Ilie Dumitrescu: o campanie despre precizie, stil și spirit de echipă</t>
  </si>
  <si>
    <t xml:space="preserve">How this sheet was built (sweep run 2026-08-21). Every winery's own site was crawled for its news, blog or events section, using the WordPress and Shopify feeds where they exist and the served HTML where they do not; the Romanian marketing trade press (IQads) was swept in parallel by brand. Only items published from 1 January 2021 onward are listed, each with the page it came from. Rows whose Date is blank carry a Year taken from the publisher's article sequence, calibrated against four articles with known dates — treat those years as approximate. Coverage is uneven by design, not by sampling: seventeen wineries publish dated news that can be read from outside, and the remaining thirteen publish none, so their campaigns appear in Campaign Evidence from press and agency sources but cannot be dated month by month here. A low row count means the winery publishes little, not that it does little.</t>
  </si>
  <si>
    <t xml:space="preserve">CEO / senior leader</t>
  </si>
  <si>
    <t xml:space="preserve">Public title</t>
  </si>
  <si>
    <t xml:space="preserve">Background</t>
  </si>
  <si>
    <t xml:space="preserve">Education — Bachelor / Master / PhD</t>
  </si>
  <si>
    <t xml:space="preserve">Career domains</t>
  </si>
  <si>
    <t xml:space="preserve">Core discipline</t>
  </si>
  <si>
    <t xml:space="preserve">CEO source</t>
  </si>
  <si>
    <t xml:space="preserve">Confidence / notes</t>
  </si>
  <si>
    <t xml:space="preserve">Claudiu Necșulescu</t>
  </si>
  <si>
    <t xml:space="preserve">President / owner; CEO title not confirmed</t>
  </si>
  <si>
    <t xml:space="preserve">Engineer who moved from state machinery into trading, agriculture and the post-privatization rebuilding of Jidvei.</t>
  </si>
  <si>
    <t xml:space="preserve">Bachelor/equivalent: Road Vehicles / Automotive Engineering, Transilvania University of Brașov (1987). Master: not found. PhD: not found.</t>
  </si>
  <si>
    <t xml:space="preserve">Mechanical and automotive engineering; machinery; trade/export; agriculture; viticulture; ownership and strategy.</t>
  </si>
  <si>
    <t xml:space="preserve">https://www.zf.ro/who-s-who/claudiu-necsulescu-10387336</t>
  </si>
  <si>
    <t xml:space="preserve">High confidence on the leader; CEO title is not publicly confirmed.</t>
  </si>
  <si>
    <t xml:space="preserve">Gianina-Virginia Rusu</t>
  </si>
  <si>
    <t xml:space="preserve">CEO since Nov. 2023</t>
  </si>
  <si>
    <t xml:space="preserve">Joined as an economist, progressed through controlling and about 18 years as CFO, then became CEO; also holds accounting, audit and tax credentials.</t>
  </si>
  <si>
    <t xml:space="preserve">Bachelor: Accounting and Computer Science, George Bacovia University (1998–2002). Master: not found. PhD: not found. Professional: CECCAR, CAFR, CCF.</t>
  </si>
  <si>
    <t xml:space="preserve">Accounting; controlling; finance/CFO; audit; tax; corporate leadership.</t>
  </si>
  <si>
    <t xml:space="preserve">Finance / Economics</t>
  </si>
  <si>
    <t xml:space="preserve">https://ro.linkedin.com/in/gianina-virginia-rusu-70736640</t>
  </si>
  <si>
    <t xml:space="preserve">High confidence on CEO and career progression.</t>
  </si>
  <si>
    <t xml:space="preserve">Victor Bostan</t>
  </si>
  <si>
    <t xml:space="preserve">Founder and CEO (returned 16 Dec. 2025)</t>
  </si>
  <si>
    <t xml:space="preserve">Founder of the modern group with more than 35 years in wine; returned as CEO after the 2025 ownership and governance transition.</t>
  </si>
  <si>
    <t xml:space="preserve">Bachelor/equivalent: Wine Technology, Technical University of Moldova. Master: not found. PhD: not found.</t>
  </si>
  <si>
    <t xml:space="preserve">Winemaking; viticulture; wine technology; entrepreneurship; corporate strategy and governance.</t>
  </si>
  <si>
    <t xml:space="preserve">Wine Engineer</t>
  </si>
  <si>
    <t xml:space="preserve">https://purcariwineries.com/en/investors/</t>
  </si>
  <si>
    <t xml:space="preserve">High confidence; current leadership confirmed by public-company sources.</t>
  </si>
  <si>
    <t xml:space="preserve">Gheorghe Iova</t>
  </si>
  <si>
    <t xml:space="preserve">Co-founder / director; senior operating leader</t>
  </si>
  <si>
    <t xml:space="preserve">Started as a farm head at IAS Recaș, became director, helped lead privatization and growth, and also taught at the Banat agricultural university.</t>
  </si>
  <si>
    <t xml:space="preserve">Bachelor/equivalent: Horticulture, University of Agricultural Sciences, Cluj-Napoca; top of class (1983). Master: not found. PhD: not found.</t>
  </si>
  <si>
    <t xml:space="preserve">Horticulture; vineyard/farm operations; winemaking; teaching/academia; management; privatization; export.</t>
  </si>
  <si>
    <t xml:space="preserve">Agronomy / Horticulture</t>
  </si>
  <si>
    <t xml:space="preserve">https://ghidulbanatului.ro/povestea-cramelor-recas-unul-dintre-cei-mai-mari-producatori-de-vinuri-din-romania_9065.html</t>
  </si>
  <si>
    <t xml:space="preserve">Medium confidence on the CEO-style title; leadership is shared among founding families.</t>
  </si>
  <si>
    <t xml:space="preserve">Marius Iliev</t>
  </si>
  <si>
    <t xml:space="preserve">General Manager / founder-level leader</t>
  </si>
  <si>
    <t xml:space="preserve">Former University of Illinois Chicago academic who taught differential equations; returned to Romania and became an entrepreneur, investor and winery turnaround leader.</t>
  </si>
  <si>
    <t xml:space="preserve">Exact bachelor/master/PhD degrees not publicly stated in reviewed sources. Advanced mathematics training is implied by his former university teaching, but not labeled as a degree.</t>
  </si>
  <si>
    <t xml:space="preserve">Mathematics and academia; entrepreneurship; investment/turnaround; wine; viticulture; portfolio strategy.</t>
  </si>
  <si>
    <t xml:space="preserve">Academia</t>
  </si>
  <si>
    <t xml:space="preserve">https://www.desprevin.ro/interviu-marius-iliev-ceo-via-viticola-sarica-niculitel</t>
  </si>
  <si>
    <t xml:space="preserve">Medium-high confidence; the exact education level is intentionally not inferred.</t>
  </si>
  <si>
    <t xml:space="preserve">Olga Miloiu</t>
  </si>
  <si>
    <t xml:space="preserve">CEO / General Manager since 2012</t>
  </si>
  <si>
    <t xml:space="preserve">Career spans European funds, import/distribution, beverage management, sales, marketing, hospitality and general management.</t>
  </si>
  <si>
    <t xml:space="preserve">Bachelor/licence: International Economic Relations, ASE Bucharest (1999–2003), valedictorian. Bachelor/licence: Engineering &amp; Management in Agricultural Tourism, Bioterra University (1996–2000). Master: not found. PhD: not found.</t>
  </si>
  <si>
    <t xml:space="preserve">European funds; import/distribution; beverages; sales; marketing; finance/control; hospitality; general management.</t>
  </si>
  <si>
    <t xml:space="preserve">https://ro.linkedin.com/in/olga-miloiu-ba75537b</t>
  </si>
  <si>
    <t xml:space="preserve">High confidence on CEO and education.</t>
  </si>
  <si>
    <t xml:space="preserve">Emil Popescu</t>
  </si>
  <si>
    <t xml:space="preserve">President / owner</t>
  </si>
  <si>
    <t xml:space="preserve">Long-standing owner and president; detailed earlier career history is not publicly disclosed in reviewed sources.</t>
  </si>
  <si>
    <t xml:space="preserve">University POLITEHNICA of Bucharest attended/listed. Degree level and field not specified. Master: not found. PhD: not found.</t>
  </si>
  <si>
    <t xml:space="preserve">Ownership; beverage/FMCG; corporate strategy; acquisitions; portfolio and brand management. Engineering is possible from the university context but not asserted.</t>
  </si>
  <si>
    <t xml:space="preserve">https://ro.linkedin.com/in/emil-popescu-758a086</t>
  </si>
  <si>
    <t xml:space="preserve">High confidence on leadership; public biographical detail is limited.</t>
  </si>
  <si>
    <t xml:space="preserve">Răzvan Serghiuță</t>
  </si>
  <si>
    <t xml:space="preserve">Director General since Dec. 2018</t>
  </si>
  <si>
    <t xml:space="preserve">Advanced from Commercial Director to Director General after a long career in the wine industry.</t>
  </si>
  <si>
    <t xml:space="preserve">Doctoral studies: Economics, Alexandru Ioan Cuza University of Iași. Bachelor: not publicly specified. Master: not publicly specified.</t>
  </si>
  <si>
    <t xml:space="preserve">Sales/commercial; general management; economics; wine/FMCG.</t>
  </si>
  <si>
    <t xml:space="preserve">Marketing / Sales</t>
  </si>
  <si>
    <t xml:space="preserve">https://ro.linkedin.com/in/razvan-serghiuta-aa985710b</t>
  </si>
  <si>
    <t xml:space="preserve">High confidence on the current Director General.</t>
  </si>
  <si>
    <t xml:space="preserve">Victor Deleanu</t>
  </si>
  <si>
    <t xml:space="preserve">President / Director General</t>
  </si>
  <si>
    <t xml:space="preserve">Second-generation leader; worked in vineyard operations and winemaking before leading the premium, dry-wine and HoReCa-focused company.</t>
  </si>
  <si>
    <t xml:space="preserve">Bachelor: Law, Alexandru Ioan Cuza University of Iași. Additional study: Horticulture (reported as year 2 in 2015; completion not confirmed). Master: not found. PhD: not found.</t>
  </si>
  <si>
    <t xml:space="preserve">Law; vineyard operations; winemaking; ownership; general management; premium wine; HoReCa strategy; family business.</t>
  </si>
  <si>
    <t xml:space="preserve">Law</t>
  </si>
  <si>
    <t xml:space="preserve">https://www.crameromania.ro/oameni/interviu-victor-deleanu-cel-mai-tanar-director-general-al-unei-crame-din-romania-crame-288.html</t>
  </si>
  <si>
    <t xml:space="preserve">High confidence on leadership and education; horticulture completion is not claimed.</t>
  </si>
  <si>
    <t xml:space="preserve">Cosmin Popescu</t>
  </si>
  <si>
    <t xml:space="preserve">Managing Partner</t>
  </si>
  <si>
    <t xml:space="preserve">Joined Murfatlar around 2000 and progressed through wine-sector operational and executive management into the managing-partner role.</t>
  </si>
  <si>
    <t xml:space="preserve">Bachelor/equivalent: Finance, Banking and Stock Exchanges. Master: not found. PhD: not found.</t>
  </si>
  <si>
    <t xml:space="preserve">Finance; wine production and operations; executive management; brand/export strategy; oenology judging.</t>
  </si>
  <si>
    <t xml:space="preserve">https://www.iwcb.ro/speakers/cosmin-popescu/</t>
  </si>
  <si>
    <t xml:space="preserve">Medium-high confidence on the managing-partner role and education.</t>
  </si>
  <si>
    <t xml:space="preserve">Rareș Florea</t>
  </si>
  <si>
    <t xml:space="preserve">Country Manager; previously publicly titled CEO</t>
  </si>
  <si>
    <t xml:space="preserve">Commercial leader with about 18 years across financial services, production, retail and e-commerce; responsible for Romanian commercial strategy and international expansion.</t>
  </si>
  <si>
    <t xml:space="preserve">Bachelor/equivalent: Public Administration, University of Bucharest. Master: not found. PhD: not found.</t>
  </si>
  <si>
    <t xml:space="preserve">Banking and financial services; production; retail; e-commerce; commercial strategy; export; general management.</t>
  </si>
  <si>
    <t xml:space="preserve">https://www.businessmagazin.ro/analize/agricultura/rares-florea-country-manager-domeniile-averesti-domeniul-vinului-22459506</t>
  </si>
  <si>
    <t xml:space="preserve">High confidence on current operating leadership and background.</t>
  </si>
  <si>
    <t xml:space="preserve">Virgil Mândru</t>
  </si>
  <si>
    <t xml:space="preserve">Owner and CEO</t>
  </si>
  <si>
    <t xml:space="preserve">Entered wine in his twenties, launched the Edelweiss sparkling brand in 1992 and later acquired/developed Tohani into an integrated vineyard, winery and tourism business.</t>
  </si>
  <si>
    <t xml:space="preserve">Bachelor: not found. Master: not found. PhD: not found in reviewed public sources.</t>
  </si>
  <si>
    <t xml:space="preserve">Wine distribution; sparkling wine; viticulture; winery ownership; brand building; exports; wine tourism.</t>
  </si>
  <si>
    <t xml:space="preserve">Entrepreneur / Owner</t>
  </si>
  <si>
    <t xml:space="preserve">https://www.zf.ro/zf-agropower/zf-agropower-virgil-mandru-tohani-ni-s-a-aprobat-un-proiect-cu-21202156</t>
  </si>
  <si>
    <t xml:space="preserve">High confidence on title and wine-industry background; education is not publicly disclosed.</t>
  </si>
  <si>
    <t xml:space="preserve">Oana Belu</t>
  </si>
  <si>
    <t xml:space="preserve">CEO</t>
  </si>
  <si>
    <t xml:space="preserve">Entered business while a student, spent about six years in international fruit and vegetable transport, then built the family's agriculture, orchard and wine platform at Ostrov.</t>
  </si>
  <si>
    <t xml:space="preserve">Bachelor/equivalent: engineering studies reported; institution and degree completion not publicly specified. Master: not found. PhD: not found.</t>
  </si>
  <si>
    <t xml:space="preserve">International transport; agriculture; wine; fruit and vegetables; entrepreneurship; investment; general management; sustainability.</t>
  </si>
  <si>
    <t xml:space="preserve">https://www.businessmagazin.ro/actualitate/afaceri/povestea-antreprenoarei-oana-belu-care-conduce-cea-mai-mare-afacere-22460347</t>
  </si>
  <si>
    <t xml:space="preserve">High confidence on CEO role and background; medium confidence on exact education details.</t>
  </si>
  <si>
    <t xml:space="preserve">Marcel Grăjdieru</t>
  </si>
  <si>
    <t xml:space="preserve">General Manager, Crama Ceptura</t>
  </si>
  <si>
    <t xml:space="preserve">Medically trained executive who joined the Purcari group in 2002, helped launch its Romanian market activity and developed Crama Ceptura; general manager since 2005.</t>
  </si>
  <si>
    <t xml:space="preserve">Bachelor/equivalent: medical degree / surgical training, State University of Medicine and Pharmacy “Nicolae Testemițanu”. Master: not found. PhD/doctorate: Doctor of Medical Sciences.</t>
  </si>
  <si>
    <t xml:space="preserve">Medicine and surgery; wine sales; commercial expansion; winery operations; general management.</t>
  </si>
  <si>
    <t xml:space="preserve">Medicine</t>
  </si>
  <si>
    <t xml:space="preserve">High confidence from the group's official executive biography, independently confirmed by trade-press campaign credits naming him General Manager, Crama Ceptura (IQads, Dec. 2021). Verified again 2026-08-21.</t>
  </si>
  <si>
    <t xml:space="preserve">Dan Balaban</t>
  </si>
  <si>
    <t xml:space="preserve">Founder and co-owner; senior operating leader</t>
  </si>
  <si>
    <t xml:space="preserve">Started in wholesale and wine distribution in the early 1990s, then created Davino and built its premium, limited-production and HoReCa-led positioning in Dealu Mare.</t>
  </si>
  <si>
    <t xml:space="preserve">Wine distribution; entrepreneurship; premium brand strategy; viticulture; winery operations; HoReCa; retail and export.</t>
  </si>
  <si>
    <t xml:space="preserve">https://www.winemark.ro/speaker/dan-balaban/index.html</t>
  </si>
  <si>
    <t xml:space="preserve">High confidence on founder leadership and career; formal current CEO title is not publicly confirmed.</t>
  </si>
  <si>
    <t xml:space="preserve">Constantin Gîrboiu</t>
  </si>
  <si>
    <t xml:space="preserve">Founder and owner</t>
  </si>
  <si>
    <t xml:space="preserve">Founded the family winery at Cotești, Vrancea in 2005 and built it to about 200 hectares and 1.3–1.5 million litres a year, with a branded ladder running from Ambra and Cuartz up to the Tectonic and Epicentrum premium lines.</t>
  </si>
  <si>
    <t xml:space="preserve">Bachelor: not found. Master: not found. PhD: not found.</t>
  </si>
  <si>
    <t xml:space="preserve">Viticulture; winemaking; family entrepreneurship; branded portfolio building; export.</t>
  </si>
  <si>
    <t xml:space="preserve">https://cramagirboiu.ro/despre-crama/</t>
  </si>
  <si>
    <t xml:space="preserve">High confidence on founder and ownership. No separate CEO title is published; Livia Gîrboiu appears publicly as Executive Manager of the winery.</t>
  </si>
  <si>
    <t xml:space="preserve">Ion Gîrniță</t>
  </si>
  <si>
    <t xml:space="preserve">Co-owner, SC Vie Vin Vânju Mare SRL</t>
  </si>
  <si>
    <t xml:space="preserve">Co-owner with Augustin Popescu of the company formed in 2001 to buy 240 hectares in the Plaiurile Drâncei area; the estate today works about 130 hectares and bottles roughly 350,000 litres a year.</t>
  </si>
  <si>
    <t xml:space="preserve">Viticulture; wine production; ownership; regional red-wine development.</t>
  </si>
  <si>
    <t xml:space="preserve">Medium confidence: ownership is documented, but no CEO or general-manager title is published for either owner. Oenologist Florian Stana is the named technical lead.</t>
  </si>
  <si>
    <t xml:space="preserve">Virgil Harabagiu</t>
  </si>
  <si>
    <t xml:space="preserve">Owner</t>
  </si>
  <si>
    <t xml:space="preserve">Owner of the Gura Vadului estate opened in its present form in 2013, working about 30 hectares in Dealu Mare around a restored 1907–1909 manor house.</t>
  </si>
  <si>
    <t xml:space="preserve">Ownership; wine estate development; wine tourism; heritage restoration.</t>
  </si>
  <si>
    <t xml:space="preserve">https://www.crameromania.ro/crame/crama-harabagiu-licorna-winehouse-serafim-62.html</t>
  </si>
  <si>
    <t xml:space="preserve">Medium-high confidence on ownership; no CEO or general-manager title is published. Oenologist Florin-Gabriel Lăcureanu is the named technical lead.</t>
  </si>
  <si>
    <t xml:space="preserve">Petru Dulgher</t>
  </si>
  <si>
    <t xml:space="preserve">Owner (with Svetlana Dulgher, co-owner)</t>
  </si>
  <si>
    <t xml:space="preserve">Family owner of the Plopi estate in the Cantemir district, founded in 1999 on a 1953 winery and grown to roughly 360–390 hectares and 700,000 bottles a year, with Romania taking about 60% of output.</t>
  </si>
  <si>
    <t xml:space="preserve">Viticulture; family ownership; wine production; export to Romania, Europe, Asia and the USA.</t>
  </si>
  <si>
    <t xml:space="preserve">High confidence: the winery publishes its own People page naming the family and their roles. Moldovan producer, listed here because Romania is its principal market.</t>
  </si>
  <si>
    <t xml:space="preserve">Jean Valvis</t>
  </si>
  <si>
    <t xml:space="preserve">Majority owner (79%), Valvis Holding</t>
  </si>
  <si>
    <t xml:space="preserve">Greek-Swiss entrepreneur behind Dorna, LaDorna and Aqua Carpatica who invested in SC Viti-Pomicola Sâmburești from 2005–2006 and launched the Château Valvis, Domeniile Sâmburești and Sâmburel de Olt brands in 2009; has said the wine brands will stay in the family.</t>
  </si>
  <si>
    <t xml:space="preserve">FMCG brand building; mineral water; dairy; investment; wine ownership.</t>
  </si>
  <si>
    <t xml:space="preserve">https://www.zfcorporate.ro/retail-agrobusiness/jean-valvis-brandurile-aqua-carpatica-domeniile-samburesti-si-chateau-valvis-vor-ramane-in-familie-13779208</t>
  </si>
  <si>
    <t xml:space="preserve">High confidence on ownership and brand launches. Day-to-day leadership sits with executive director Ioan Manea; winemaker is Manuel Nica.</t>
  </si>
  <si>
    <t xml:space="preserve">Zoe Ghiuri</t>
  </si>
  <si>
    <t xml:space="preserve">Co-founder and owner (with Dumi and George Ghiuri)</t>
  </si>
  <si>
    <t xml:space="preserve">Co-founder of the Dealul Vifor estate near Cernavodă, an investment of more than 8 million euro that pairs a Dobrogea vineyard with a concert and tasting venue on the Danube's high bank.</t>
  </si>
  <si>
    <t xml:space="preserve">Ownership; wine estate development; hospitality and events; wine tourism.</t>
  </si>
  <si>
    <t xml:space="preserve">https://www.desprevin.ro/cunoaste-o-mai-bine-zoe-ghiuri-co-fondator-crama-rasova</t>
  </si>
  <si>
    <t xml:space="preserve">High confidence on co-founder status; no CEO title is published. Răzvan Macici, formerly of Nederburg in South Africa, is the winemaker and the public quality signature.</t>
  </si>
  <si>
    <t xml:space="preserve">Miron Radić</t>
  </si>
  <si>
    <t xml:space="preserve">CEO / General Manager, amb Wine Company</t>
  </si>
  <si>
    <t xml:space="preserve">Marketing man by training who joined founder Alfred Michael Beck's AMB Holding, ran Liliac's marketing and sales from 2015 and took over as general director of the operating company in 2018; has led a 3.4 million euro expansion and the move into wine tourism with accommodation.</t>
  </si>
  <si>
    <t xml:space="preserve">Bachelor/equivalent: Business Administration — Marketing and Production Management, Vienna University of Economics and Business, with a diploma thesis on Romanian wines. Master: not found. PhD: not found.</t>
  </si>
  <si>
    <t xml:space="preserve">Marketing; sales; wine business management; hospitality and wine tourism.</t>
  </si>
  <si>
    <t xml:space="preserve">https://www.desprevin.ro/cunoaste-l-mai-bine-pe-miron-radic-general-manager-crama-liliac</t>
  </si>
  <si>
    <t xml:space="preserve">High confidence on role, tenure and education; the education detail is unusually well documented for this set.</t>
  </si>
  <si>
    <t xml:space="preserve">Gabriel Roceanu</t>
  </si>
  <si>
    <t xml:space="preserve">General Manager, Carl Reh Winery / Crama Oprișor</t>
  </si>
  <si>
    <t xml:space="preserve">General manager of the Romanian operation of Reh Kendermann GmbH of Bingen am Rhein, which established Carl Reh Winery in 1997, took over the Oprișor winery in 2000, replanted 250 hectares and adopted the Crama Oprișor name for the Romanian market in 2008.</t>
  </si>
  <si>
    <t xml:space="preserve">General management; wine production; German-owned subsidiary leadership; branded portfolio.</t>
  </si>
  <si>
    <t xml:space="preserve">General Management</t>
  </si>
  <si>
    <t xml:space="preserve">High confidence: the general manager and the full commercial team are published with titles and direct e-mail addresses on the winery's own site.</t>
  </si>
  <si>
    <t xml:space="preserve">Aurelia Vișinescu</t>
  </si>
  <si>
    <t xml:space="preserve">Founder and winemaker</t>
  </si>
  <si>
    <t xml:space="preserve">Oenologist who founded Domeniile Săhăteni in 2003 with her cousin by marriage Steve Cacenco and built it to 82 hectares across Săhăteni, Năeni and Fințești with a cellar handling about 1,000 tonnes of grapes a season; the winery trades under her own name.</t>
  </si>
  <si>
    <t xml:space="preserve">Bachelor/equivalent: oenology (institution not stated in reviewed sources). Master: not found. PhD: not found.</t>
  </si>
  <si>
    <t xml:space="preserve">Oenology; winemaking; estate founding; small-batch premium production.</t>
  </si>
  <si>
    <t xml:space="preserve">High confidence on founder, role and estate detail; the exact degree and institution are not stated in the sources reviewed.</t>
  </si>
  <si>
    <t xml:space="preserve">Ștefan Ionescu</t>
  </si>
  <si>
    <t xml:space="preserve">Founder of the Urlați estate whose first harvest was 2011 and first wines 2012; works 64 hectares, bottles about 120,000 wines a year entirely for HoReCa, and is investing 2 million euro in a new winery to reach roughly 200,000 bottles.</t>
  </si>
  <si>
    <t xml:space="preserve">Entrepreneurship; viticulture; HoReCa distribution; wine tourism.</t>
  </si>
  <si>
    <t xml:space="preserve">High confidence on founder, ownership and production detail from business-press interviews.</t>
  </si>
  <si>
    <t xml:space="preserve">Cristina Viorica Negrini Gheorghe</t>
  </si>
  <si>
    <t xml:space="preserve">Founder</t>
  </si>
  <si>
    <t xml:space="preserve">Founded the wine house in 1990 by buying one of Drăgășani's most valuable vineyards, the former estate of General Teodrini — ten hectares of which seven are vines — and replanted it with Fetească Regală, Sauvignon Blanc and Merlot.</t>
  </si>
  <si>
    <t xml:space="preserve">Ownership; vineyard acquisition and replanting; branded wine production.</t>
  </si>
  <si>
    <t xml:space="preserve">Medium confidence: the founder is named in producer directories, but no current CEO or general-manager title is published.</t>
  </si>
  <si>
    <t xml:space="preserve">Nello Dal Tio</t>
  </si>
  <si>
    <t xml:space="preserve">Owner (Dal Tio family)</t>
  </si>
  <si>
    <t xml:space="preserve">Head of the Italian family that founded the winery at Petrovaselo in 2002 to give an Italian reading of a 2,500-year-old Banat terroir; the estate holds 172 hectares of which 42 are certified-organic vineyard.</t>
  </si>
  <si>
    <t xml:space="preserve">Family ownership; organic viticulture; international investment in Romanian wine.</t>
  </si>
  <si>
    <t xml:space="preserve">High confidence on ownership and founding. No CEO title is published; Marco Feltrin is the named oenologist.</t>
  </si>
  <si>
    <t xml:space="preserve">Csaba Bereczki</t>
  </si>
  <si>
    <t xml:space="preserve">Oenologist and senior technical lead</t>
  </si>
  <si>
    <t xml:space="preserve">Joined Carastelec straight from university in 2014 and is the winery's named technical lead. The winery itself was launched in 2011 by five entrepreneurs — three from Transylvania, two from Hungary — who invested more than 5 million euro, planting 22.4 hectares in 2011 and building the cellar over 2011–2012 with European funds.</t>
  </si>
  <si>
    <t xml:space="preserve">Oenology; traditional-method sparkling wine production.</t>
  </si>
  <si>
    <t xml:space="preserve">https://cluj.com/articole/crama-de-pe-insula-cristalina-din-nord-vestul-transilvaniei-carastelec/</t>
  </si>
  <si>
    <t xml:space="preserve">Low-to-medium confidence as a leadership entry: no CEO, general manager or managing partner is publicly named, and the ownership group is described only collectively. The oenologist is recorded here as the only named senior figure.</t>
  </si>
  <si>
    <t xml:space="preserve">Andrian Davidescu</t>
  </si>
  <si>
    <t xml:space="preserve">Third-generation head of a family winery founded on his grandfather Ilie Davidescu's vineyard work on the left bank of the Prut; has built the Romanian business from 2.8 million lei in 2019 to 17.3 million lei in 2025 and argues publicly that Romanian and Moldovan producers should promote jointly.</t>
  </si>
  <si>
    <t xml:space="preserve">Family wine business; retail and HoReCa distribution; export; industry advocacy.</t>
  </si>
  <si>
    <t xml:space="preserve">https://www.zf.ro/zf-live/zf-live-andrian-davidescu-ceo-crama-domeniile-davidescu-din-22820233</t>
  </si>
  <si>
    <t xml:space="preserve">High confidence on the CEO title and commercial record from business-press interviews and reported results. Moldovan producer, listed here because Romania is its principal market.</t>
  </si>
  <si>
    <t xml:space="preserve">Mihaela Tyrel de Poix</t>
  </si>
  <si>
    <t xml:space="preserve">President and co-founder (until the Purcari acquisition)</t>
  </si>
  <si>
    <t xml:space="preserve">Co-founded SERVE — Societatea Euro Română de Vinuri de Excepție — in 1994 with her husband, the Corsican Count Guy Tyrel de Poix, and led the roughly 10 million lei business after his death; the winery works about 60–65 hectares at Ceptura and bottles some 500,000 wines a year on a turnover near 2 million euro.</t>
  </si>
  <si>
    <t xml:space="preserve">Wine entrepreneurship; estate leadership; native-variety advocacy; premium brand building.</t>
  </si>
  <si>
    <t xml:space="preserve">https://www.businessmagazin.ro/lideri/povestea-romancei-care-a-ajuns-contesa-iar-acum-conduce-un-business-de-10-milioane-de-lei-intr-un-domeniu-dominat-de-barbati-16387670</t>
  </si>
  <si>
    <t xml:space="preserve">High confidence on founding and leadership. Purcari Wineries completed its acquisition of SERVE Ceptura on 18 May 2026, so the leadership arrangement is likely to change; oenologist is Sabin Banița.</t>
  </si>
  <si>
    <t xml:space="preserve">Sogrape</t>
  </si>
  <si>
    <t xml:space="preserve">Fernando da Cunha Guedes</t>
  </si>
  <si>
    <t xml:space="preserve">President and CEO</t>
  </si>
  <si>
    <t xml:space="preserve">Third-generation head of the Portuguese family group founded in 1942, the owner of Sandeman, Mateus and a portfolio spanning Portugal, Spain, Chile, Argentina, New Zealand and Australia; the group is present in Romania through import and distribution rather than production.</t>
  </si>
  <si>
    <t xml:space="preserve">Bachelor/equivalent: business studies (institution not stated in reviewed sources). Master: not found. PhD: not found.</t>
  </si>
  <si>
    <t xml:space="preserve">Family ownership; international wine group management; export and distribution; brand portfolio.</t>
  </si>
  <si>
    <t xml:space="preserve">https://www.linkedin.com/in/fernando-da-cunha-guedes-32152246/</t>
  </si>
  <si>
    <t xml:space="preserve">High confidence on role. Portuguese group, not a Romanian producer — listed here because it appears on the Romanian market list.</t>
  </si>
  <si>
    <t xml:space="preserve">Bodega Pietroasa</t>
  </si>
  <si>
    <t xml:space="preserve">Not publicly identified</t>
  </si>
  <si>
    <t xml:space="preserve">A Dealu Mare producer working the hills at Zorești, Buzău, whose cellar was modernised in 2006 and which bottles the Basilevs range. Distinct from the Pietroasa research station (SCDVV, founded 1893) and from Crama Pietroasele.</t>
  </si>
  <si>
    <t xml:space="preserve">Viticulture; wine production; regional branded ranges.</t>
  </si>
  <si>
    <t xml:space="preserve">Not established</t>
  </si>
  <si>
    <t xml:space="preserve">https://bodegapietroasa.ro/</t>
  </si>
  <si>
    <t xml:space="preserve">No owner, CEO or general manager is named on the winery's own site or in any reviewed public source. Identity confirmed only at company level.</t>
  </si>
  <si>
    <t xml:space="preserve">Cricova</t>
  </si>
  <si>
    <t xml:space="preserve">Leadership in transition — see notes</t>
  </si>
  <si>
    <t xml:space="preserve">Director General, S.A. Combinatul de Vinuri „Cricova”</t>
  </si>
  <si>
    <t xml:space="preserve">Moldova's state-owned flagship cellar. Valentin Bodiul ran it as director general from 1987 to 2016 and died of COVID-19 in October 2020; Denis Șova won the competition for the post and was then dismissed by the board in 2022, and a fresh competition was advertised by the Public Property Agency in September 2024.</t>
  </si>
  <si>
    <t xml:space="preserve">State-owned enterprise management; wine production; wine tourism.</t>
  </si>
  <si>
    <t xml:space="preserve">https://app.gov.md/cariere-in-entitati/director-al-s-a-combinatul-de-vinuri-cricova-2/</t>
  </si>
  <si>
    <t xml:space="preserve">Low-to-medium confidence: the post has changed hands repeatedly and no confirmed incumbent was found as of 2026-08-21. Moldovan state-owned company, not a Romanian producer.</t>
  </si>
  <si>
    <t xml:space="preserve">Ostrovit</t>
  </si>
  <si>
    <t xml:space="preserve">Ostrovit S.A. is the operating company behind the Domeniile Ostrov brand already researched in this workbook; leadership, background and education are recorded on the Domeniile Ostrov row.</t>
  </si>
  <si>
    <t xml:space="preserve">See the Domeniile Ostrov row.</t>
  </si>
  <si>
    <t xml:space="preserve">https://www.domeniileostrov.ro/pages/despre-domeniile-ostrov</t>
  </si>
  <si>
    <t xml:space="preserve">Cross-reference, not a separate company: listed name is the legal entity behind Domeniile Ostrov. Not double-counted anywhere in this workbook.</t>
  </si>
  <si>
    <t xml:space="preserve">Rovinex</t>
  </si>
  <si>
    <t xml:space="preserve">A Romanian wine brand with close to thirty years on the market, sold through national retail and online, including a Romanian Classic range.</t>
  </si>
  <si>
    <t xml:space="preserve">Branded wine production and distribution.</t>
  </si>
  <si>
    <t xml:space="preserve">https://nitelashop.ro/rovinex-vin-rose-romanian-classic-cabernet-sauvignon-2-bucati-x-0-75l</t>
  </si>
  <si>
    <t xml:space="preserve">No leadership is named in any reviewed public source; the brand has no reachable corporate site. Low confidence on company identity.</t>
  </si>
  <si>
    <t xml:space="preserve">Vinarte</t>
  </si>
  <si>
    <t xml:space="preserve">Founded in 1998 by Romanian, French and Italian investors, working about 120 hectares at Stârmina in Mehedinți and 50 at Sâmburești in Olt under the Castel Stârmina and Bolovanu names. Sold its Villa Zorilor estate and the Prince Matei brand to Vintruvian Estates in 2019.</t>
  </si>
  <si>
    <t xml:space="preserve">Viticulture; winemaking; foreign investment in Romanian wine.</t>
  </si>
  <si>
    <t xml:space="preserve">https://winesofromania.com/en/wineries/vinarte/</t>
  </si>
  <si>
    <t xml:space="preserve">Founding investors are documented but no current CEO or general manager is named publicly. Medium confidence on company facts, none on leadership.</t>
  </si>
  <si>
    <t xml:space="preserve">Vinexport</t>
  </si>
  <si>
    <t xml:space="preserve">Listed on the Romanian market as a wine company; no corporate site or company profile could be reached from the name alone.</t>
  </si>
  <si>
    <t xml:space="preserve">Not established from public sources.</t>
  </si>
  <si>
    <t xml:space="preserve">Nothing verifiable was located for this name. It may be a trade name or a company whose registered name differs — worth confirming the legal entity before further research.</t>
  </si>
  <si>
    <t xml:space="preserve">Carpatvin</t>
  </si>
  <si>
    <t xml:space="preserve">Carpatvin Grup SRL of Odobești, Vrancea, which took over and continues the Odobești wine-processing facility founded in 1976, and distributes bottled wine through Kaufland, Carrefour, Auchan, Mega Image and Penny Market plus regional distributors.</t>
  </si>
  <si>
    <t xml:space="preserve">Wine processing; bottling; national retail distribution.</t>
  </si>
  <si>
    <t xml:space="preserve">https://www.carpatvin.ro/despre/</t>
  </si>
  <si>
    <t xml:space="preserve">Company identity and distribution footprint are documented on its own site; no named leadership appears there or in reviewed public sources.</t>
  </si>
  <si>
    <t xml:space="preserve">Chateau Vartely</t>
  </si>
  <si>
    <t xml:space="preserve">Arcadie Foșnea</t>
  </si>
  <si>
    <t xml:space="preserve">Director of Technical Operations</t>
  </si>
  <si>
    <t xml:space="preserve">Winemaker at the Orhei estate, named Moldovan Winemaker of the Year in 2014, who studied winemaking at Weinsberg in Germany. The winery employs about 350 people, exports to more than twenty countries and produces over a million bottles a year.</t>
  </si>
  <si>
    <t xml:space="preserve">Bachelor/equivalent: winemaking, Weinsberg (Germany). Master: not found. PhD: not found.</t>
  </si>
  <si>
    <t xml:space="preserve">Oenology; technical operations; export production.</t>
  </si>
  <si>
    <t xml:space="preserve">https://wineofmoldova.com/en/chateau-vartely-winery/</t>
  </si>
  <si>
    <t xml:space="preserve">Medium confidence as a leadership entry: Foșnea is the senior figure named publicly but holds a technical, not a general-management title, and no CEO or general manager is published. Moldovan producer.</t>
  </si>
  <si>
    <t xml:space="preserve">Bucium</t>
  </si>
  <si>
    <t xml:space="preserve">Listed on the Romanian market as a wine company associated with the Bucium vineyard near Iași; no corporate site or leadership could be reached from the name alone.</t>
  </si>
  <si>
    <t xml:space="preserve">Nothing verifiable was located. The Bucium name attaches to a vineyard area and to more than one entity, so the legal entity should be confirmed before further research.</t>
  </si>
  <si>
    <t xml:space="preserve">Domeniile Panciu</t>
  </si>
  <si>
    <t xml:space="preserve">Daniel Guzu</t>
  </si>
  <si>
    <t xml:space="preserve">Set out in 2006 to revive the winemaking tradition of the Panciu region and built an estate of more than 120 hectares at Țifești, working both French and Romanian varieties, with a winery-and-resort operation attached.</t>
  </si>
  <si>
    <t xml:space="preserve">Entrepreneurship; viticulture; wine tourism and hospitality.</t>
  </si>
  <si>
    <t xml:space="preserve">https://www.blog.desprevin.ro/interviu-daniel-guzu-proprietar-domeniile-panciu/</t>
  </si>
  <si>
    <t xml:space="preserve">High confidence on ownership from a published interview. Oenologist is Sorin Macoviciuc; resort manager Cristina Cărutașu.</t>
  </si>
  <si>
    <t xml:space="preserve">Doina Vin</t>
  </si>
  <si>
    <t xml:space="preserve">Nothing verifiable was located for this name. Confirm the legal entity before further research.</t>
  </si>
  <si>
    <t xml:space="preserve">Rifco Import</t>
  </si>
  <si>
    <t xml:space="preserve">Listed on the Romanian market as a wine importer; no corporate site or company profile could be reached from the name alone.</t>
  </si>
  <si>
    <t xml:space="preserve">Import and distribution (inferred from the trade name).</t>
  </si>
  <si>
    <t xml:space="preserve">Nothing verifiable was located. Named as an importer rather than a producer, so the research shape differs — a commercial roster would matter more than a winemaker.</t>
  </si>
  <si>
    <t xml:space="preserve">Corcova</t>
  </si>
  <si>
    <t xml:space="preserve">Michel Roy and Șerban Dâmboviceanu</t>
  </si>
  <si>
    <t xml:space="preserve">Founders and owners</t>
  </si>
  <si>
    <t xml:space="preserve">Founded the Mehedinți estate in 2005 on land with a winegrowing history reaching back to the Bibescu family, restoring and re-equipping the cellars in 2008–2009; the estate works about 70 hectares and bottles roughly 375,000 litres a year.</t>
  </si>
  <si>
    <t xml:space="preserve">Entrepreneurship; viticulture; estate restoration; premium wine.</t>
  </si>
  <si>
    <t xml:space="preserve">https://winesofromania.com/en/wineries/corcova-roy-damboviceanu/</t>
  </si>
  <si>
    <t xml:space="preserve">High confidence on the founding partnership; no single CEO title is published. Emil Mogoșanu is the published contact and Liviu Grigorică the oenologist.</t>
  </si>
  <si>
    <t xml:space="preserve">DC Segarcea</t>
  </si>
  <si>
    <t xml:space="preserve">Mihai Anghel</t>
  </si>
  <si>
    <t xml:space="preserve">Owner (with Cornelia Anghel)</t>
  </si>
  <si>
    <t xml:space="preserve">The Anghel family took the Segarcea royal estate over from the Romanian state in 2002 and rebuilt it as Domeniul Coroanei Segarcea; Mihai Anghel also owns the Cerealcom Dolj agricultural group and has pushed the wines into export.</t>
  </si>
  <si>
    <t xml:space="preserve">Agriculture; grain trading; wine estate ownership; export.</t>
  </si>
  <si>
    <t xml:space="preserve">https://domeniulcoroanei.com/povestea-domeniului-coroanei-segarcea/</t>
  </si>
  <si>
    <t xml:space="preserve">High confidence on ownership since 2002; no separate CEO or general-manager title is published for the winery.</t>
  </si>
  <si>
    <t xml:space="preserve">Casa Isarescu</t>
  </si>
  <si>
    <t xml:space="preserve">Mugur Isărescu</t>
  </si>
  <si>
    <t xml:space="preserve">Owner (with Ileana, Costin and Lăcrămioara Isărescu)</t>
  </si>
  <si>
    <t xml:space="preserve">Governor of the National Bank of Romania and owner of the Drăgășani estate founded in 2003, working about 45 hectares and bottling some 200,000 litres a year through the operating company Măr SRL, which reported 6.2 million lei of revenue and an 18% profit margin in 2023; the estate also runs a guesthouse and restaurant.</t>
  </si>
  <si>
    <t xml:space="preserve">Bachelor/equivalent and doctorate in economics, Academy of Economic Studies, Bucharest (from his public central-banking biography).</t>
  </si>
  <si>
    <t xml:space="preserve">Central banking; economics; agriculture and wine estate ownership; wine tourism.</t>
  </si>
  <si>
    <t xml:space="preserve">https://casaisarescu.ro/istorie</t>
  </si>
  <si>
    <t xml:space="preserve">High confidence on ownership and business figures. The owner's public life is banking, not wine — the winery is a family business rather than his executive role.</t>
  </si>
  <si>
    <t xml:space="preserve">Castel Mimi</t>
  </si>
  <si>
    <t xml:space="preserve">Adrian Trofim</t>
  </si>
  <si>
    <t xml:space="preserve">CEO / General Manager</t>
  </si>
  <si>
    <t xml:space="preserve">Runs the Bulboaca estate built in 1893 by Constantin Mimi, the last governor of Tsarist Bessarabia, which the Trofim family restored between 2011 and 2016 into Moldova's most comprehensive winery restoration and reopened as a wine-and-resort complex; the winery drew a €1.24 million investment in 2025 for a wellness centre and sustainable growth.</t>
  </si>
  <si>
    <t xml:space="preserve">General management; wine production; hospitality and wine tourism; heritage restoration.</t>
  </si>
  <si>
    <t xml:space="preserve">https://castelmimi.md/despre-noi/</t>
  </si>
  <si>
    <t xml:space="preserve">High confidence on role. Owner is Iurie Trofim. Moldovan producer. Adrian Trofim is also the co-author of the Tandem collaboration with Liliac's Miron Radić recorded on the Liliac row.</t>
  </si>
  <si>
    <t xml:space="preserve">Alexandrion</t>
  </si>
  <si>
    <t xml:space="preserve">Antonio Salameh</t>
  </si>
  <si>
    <t xml:space="preserve">Chairman, Nawaf Salameh Family Office; leads the group in Romania</t>
  </si>
  <si>
    <t xml:space="preserve">Eldest son of founder Nawaf Salameh, who built Alexandrion from 2001 into the Romanian leader in spirits and wine production and distribution with turnover above 800 million lei, added the Romanian wine portfolio bought from Halewood, and died on 20 April 2025 aged 59; Antonio and his brother Roberto had been brought in as vice-presidents before that.</t>
  </si>
  <si>
    <t xml:space="preserve">Spirits and wine production and distribution; family holding management; real estate, agriculture and tourism.</t>
  </si>
  <si>
    <t xml:space="preserve">https://www.profit.ro/insider/companii/nawaf-salameh-se-retrage-din-postul-de-ceo-al-alexandrion-18199575</t>
  </si>
  <si>
    <t xml:space="preserve">High confidence on the founder and on the succession following his death in April 2025; the exact current CEO title inside the Romanian operating company is not published.</t>
  </si>
  <si>
    <t xml:space="preserve">Suvorov Vin</t>
  </si>
  <si>
    <t xml:space="preserve">A Moldovan wine company listed on the Romanian market; no corporate site or leadership could be reached from the name alone.</t>
  </si>
  <si>
    <t xml:space="preserve">Nothing verifiable was located. Moldovan producer; confirm the legal entity before further research.</t>
  </si>
  <si>
    <t xml:space="preserve">Barefoot Cellars</t>
  </si>
  <si>
    <t xml:space="preserve">Michael Houlihan and Bonnie Harvey</t>
  </si>
  <si>
    <t xml:space="preserve">Founders (brand now owned by E. &amp; J. Gallo)</t>
  </si>
  <si>
    <t xml:space="preserve">Founded the brand in 1986 in California with its footprint label and built it into the world's largest wine brand before selling the producing company, Grape Links Inc., to the Gallo family; the brand is present in Romania through import and retail distribution.</t>
  </si>
  <si>
    <t xml:space="preserve">Entrepreneurship; brand building; mass-market wine; publishing and speaking.</t>
  </si>
  <si>
    <t xml:space="preserve">https://www.transitionsib.com/the-backstory-behind-e-j-gallos-acquisition-of-barefoot-cellars/</t>
  </si>
  <si>
    <t xml:space="preserve">High confidence on the founders and the sale. American brand inside E. &amp; J. Gallo, not a Romanian producer — day-to-day leadership sits within Gallo and is not published per brand.</t>
  </si>
  <si>
    <t xml:space="preserve">Domeniul Bogdan</t>
  </si>
  <si>
    <t xml:space="preserve">Bogdan Mihalcea</t>
  </si>
  <si>
    <t xml:space="preserve">Planted 154 hectares near Peștera in Dobrogea in 2011 and built Romania's first biodynamic wine farm, working the estate under organic and biodynamic certification.</t>
  </si>
  <si>
    <t xml:space="preserve">Entrepreneurship; biodynamic and organic viticulture; premium wine.</t>
  </si>
  <si>
    <t xml:space="preserve">https://www.winesday.ro/povestea-cramei-domeniul-bogdan-interviu/</t>
  </si>
  <si>
    <t xml:space="preserve">High confidence on ownership and on the biodynamic positioning, from a published interview.</t>
  </si>
  <si>
    <t xml:space="preserve">Crama Basilescu</t>
  </si>
  <si>
    <t xml:space="preserve">Ilie Buican</t>
  </si>
  <si>
    <t xml:space="preserve">Recovered the historic Basilescu estate at Urlați through a restitution process begun in 1993 and concluded in 2007, then laid the foundations of the present winery in 2008.</t>
  </si>
  <si>
    <t xml:space="preserve">Ownership; estate restitution and rebuilding; wine production; wine tourism.</t>
  </si>
  <si>
    <t xml:space="preserve">https://jurnalul.ro/bani-afaceri/economia/p-crama-basilescu-recuperata-dupa-cinci-decenii-777011.html</t>
  </si>
  <si>
    <t xml:space="preserve">High confidence on ownership. Winemaker is Cătălin Costache and the winery manager is Dana Sofia.</t>
  </si>
  <si>
    <t xml:space="preserve">Avincis Vinuri</t>
  </si>
  <si>
    <t xml:space="preserve">Gheorghe Lixandru</t>
  </si>
  <si>
    <t xml:space="preserve">Executive Director</t>
  </si>
  <si>
    <t xml:space="preserve">Agronomic engineer running the Drăgășani estate founded in 2007, when Cristiana Irinel Stoica returned with her husband Valeriu Stoica and daughter Andreea to the family's Vila Dobrușa property; the oenological council is coordinated by Valeriu Stoica with Italian consultants Federico Giotto and Stefano Saderi.</t>
  </si>
  <si>
    <t xml:space="preserve">Bachelor/equivalent: agronomic engineering (institution not stated in reviewed sources). Master: not found. PhD: not found.</t>
  </si>
  <si>
    <t xml:space="preserve">Agronomy; estate management; viticulture; wine tourism.</t>
  </si>
  <si>
    <t xml:space="preserve">https://www.avincis.ro/echipa-noastra.htm</t>
  </si>
  <si>
    <t xml:space="preserve">High confidence: the winery publishes its own team page with titles. Shareholders are Valeriu Stoica, Cristiana Irinel Stoica, Andreea Micu and Emilia Chirițescu.</t>
  </si>
  <si>
    <t xml:space="preserve">Crama La Salina</t>
  </si>
  <si>
    <t xml:space="preserve">A Turda winery operating as Crama La Salina S.A. beside the salt mine, bottling the ISSA and SATYR labels and running a wine-tourism operation; Ovidiu Maxim is the named wine expert.</t>
  </si>
  <si>
    <t xml:space="preserve">Winemaking; wine tourism and hospitality.</t>
  </si>
  <si>
    <t xml:space="preserve">https://www.crameromania.ro/crame/crama-la-salina-turda.html</t>
  </si>
  <si>
    <t xml:space="preserve">No CEO or general manager is named publicly; the only named figure is the wine expert. Medium confidence on company facts.</t>
  </si>
  <si>
    <t xml:space="preserve">Mastegariu Florin</t>
  </si>
  <si>
    <t xml:space="preserve">The name appears on the Romanian wine market list but resolves to no company site, producer profile or trade record in any reviewed source.</t>
  </si>
  <si>
    <t xml:space="preserve">Nothing verifiable was located. The name reads as a personal name rather than a company — it may be a sole trader (PFA) or an authorised person on a licence; confirm before further research.</t>
  </si>
  <si>
    <t xml:space="preserve">Unicom</t>
  </si>
  <si>
    <t xml:space="preserve">No wine company could be resolved from this name. The reachable Romanian company trading as Unicom Holding operates in fuel cards and logistics, which does not match a wine list.</t>
  </si>
  <si>
    <t xml:space="preserve">Ambiguous name with at least one large unrelated Romanian company attached to it. Confirm the legal entity before further research.</t>
  </si>
  <si>
    <t xml:space="preserve">Antinori</t>
  </si>
  <si>
    <t xml:space="preserve">Albiera Antinori</t>
  </si>
  <si>
    <t xml:space="preserve">President (CEO: Renzo Cotarella)</t>
  </si>
  <si>
    <t xml:space="preserve">Heads the Florentine family firm founded in 1385, now in its twenty-sixth generation; Renzo Cotarella is chief executive and chief oenologist and was named the Institute of Masters of Wine Winemakers' Winemaker for 2026. The group is present in Romania through import and distribution.</t>
  </si>
  <si>
    <t xml:space="preserve">Family ownership; international fine wine; estate management; oenology (Cotarella).</t>
  </si>
  <si>
    <t xml:space="preserve">https://www.mastersofwine.org/news/renzo-cotarella-awarded-the-2026-institute-of-masters-of-wine-winemakers-winemaker-award/</t>
  </si>
  <si>
    <t xml:space="preserve">High confidence on both roles. Italian group, not a Romanian producer — listed here because it appears on the Romanian market list.</t>
  </si>
  <si>
    <t xml:space="preserve">Fautor</t>
  </si>
  <si>
    <t xml:space="preserve">Tatiana Croitoru</t>
  </si>
  <si>
    <t xml:space="preserve">Leads winemaking at the Tigheci estate in the Valul lui Traian region of southern Moldova, a family company re-equipped between 2003 and 2006 and now working more than 350 hectares; Fautor was named Moldova's most awarded producer for six consecutive years from 2017 to 2022.</t>
  </si>
  <si>
    <t xml:space="preserve">Oenology; technical leadership; premium white wine production.</t>
  </si>
  <si>
    <t xml:space="preserve">https://wineofmoldova.com/en/fautor-winery/</t>
  </si>
  <si>
    <t xml:space="preserve">Medium confidence as a leadership entry: no CEO or general manager is published, and the family owners are not named in reviewed sources. Moldovan producer. Ruxanda Lipcan is the Sales and Marketing Director.</t>
  </si>
  <si>
    <t xml:space="preserve">Caraprodvin</t>
  </si>
  <si>
    <t xml:space="preserve">Acquired by Purcari Wineries — see notes</t>
  </si>
  <si>
    <t xml:space="preserve">A Vrancea wine producer whose acquisition was signed by Crama Ceptura, the Purcari group's Romanian entity, and communicated in 2026 as the group's expansion into Vrancea.</t>
  </si>
  <si>
    <t xml:space="preserve">Wine production; regional supply.</t>
  </si>
  <si>
    <t xml:space="preserve">Now inside the Purcari group; no independent leadership is published post-transaction. The transaction itself is recorded on the Crama Ceptura campaign rows.</t>
  </si>
  <si>
    <t xml:space="preserve">Grand Tokaj</t>
  </si>
  <si>
    <t xml:space="preserve">Götz István</t>
  </si>
  <si>
    <t xml:space="preserve">Chief Executive (vezérigazgató)</t>
  </si>
  <si>
    <t xml:space="preserve">Took over the largest wine company of Hungary's Tokaj region in September 2025 after two decades inside the firm, most recently as production and operations director, and was presented publicly at the Tokaj-Hegyalja harvest days in October 2025; he succeeded Juhász Szabolcs, appointed only in February of the same year.</t>
  </si>
  <si>
    <t xml:space="preserve">Wine production and operations; state-owned enterprise leadership.</t>
  </si>
  <si>
    <t xml:space="preserve">https://index.hu/belfold/2025/10/07/grand-tokaj-vezerigazgato-gotz-istvan-tokaj-hegyalja-szureti-napok/</t>
  </si>
  <si>
    <t xml:space="preserve">High confidence on the September–October 2025 appointment. Hungarian state-owned company, not a Romanian producer.</t>
  </si>
  <si>
    <t xml:space="preserve">Vinia</t>
  </si>
  <si>
    <t xml:space="preserve">Vasile Băbușanu</t>
  </si>
  <si>
    <t xml:space="preserve">Director General</t>
  </si>
  <si>
    <t xml:space="preserve">Heads the Iași wine company founded in 1950, which operates as a producer and notably as an exporter.</t>
  </si>
  <si>
    <t xml:space="preserve">Wine production; export; state-successor enterprise management.</t>
  </si>
  <si>
    <t xml:space="preserve">https://old.vinul.ro/vinia.html</t>
  </si>
  <si>
    <t xml:space="preserve">Medium confidence: the title is documented but the source is an archived producer directory, so the appointment should be re-confirmed before use.</t>
  </si>
  <si>
    <t xml:space="preserve">Domeniul Burcilor</t>
  </si>
  <si>
    <t xml:space="preserve">Nothing verifiable was located. Confirm the legal entity before further research.</t>
  </si>
  <si>
    <t xml:space="preserve">Prodimas</t>
  </si>
  <si>
    <t xml:space="preserve">Nothing verifiable was located. The name pattern suggests a distributor rather than a producer.</t>
  </si>
  <si>
    <t xml:space="preserve">WineRo</t>
  </si>
  <si>
    <t xml:space="preserve">Nothing verifiable was located. The name pattern suggests an importer or distributor rather than a producer.</t>
  </si>
  <si>
    <t xml:space="preserve">Casa De Vinuri Ciumbrud</t>
  </si>
  <si>
    <t xml:space="preserve">Florin Dănoaie</t>
  </si>
  <si>
    <t xml:space="preserve">Founded the company that became the authorised distributor of Domeniile Boieru SRL, producer of Ciumbrud wine in Alba; Raul Ciurtin entered the shareholding in 2017 through a capital increase via Crisware Holdings, taking 50%. The producing company, Domeniile Boieru, has pushed into canned wine and ready-to-drink wine cocktails.</t>
  </si>
  <si>
    <t xml:space="preserve">Wine retail and distribution; shareholding and investment (Ciurtin).</t>
  </si>
  <si>
    <t xml:space="preserve">https://alba24.ro/domeniul-ciumbrud-noi-directii-primele-succese-840872.html</t>
  </si>
  <si>
    <t xml:space="preserve">Medium-high confidence on the founder and the 2017 shareholding change. Note the split: Casa de Vinuri Ciumbrud is the distributor, Domeniile Boieru the producer.</t>
  </si>
  <si>
    <t xml:space="preserve">Domeniile Blaga</t>
  </si>
  <si>
    <t xml:space="preserve">Domeniile Blaga SRL of Fințești, Comuna Năeni, Buzău, founded in 2010 in the Dealu Mare DOC, working about 40 hectares and producing 150,000 to 200,000 litres a year; Cristian Duță is the named wine expert.</t>
  </si>
  <si>
    <t xml:space="preserve">Viticulture; wine production.</t>
  </si>
  <si>
    <t xml:space="preserve">https://domeniileblaga.ro/domeniile-blaga-despre-noi/</t>
  </si>
  <si>
    <t xml:space="preserve">Company facts are documented on its own site; no owner, CEO or general manager is named there or in reviewed public sources.</t>
  </si>
  <si>
    <t xml:space="preserve">Carl Reh Winery</t>
  </si>
  <si>
    <t xml:space="preserve">General Manager</t>
  </si>
  <si>
    <t xml:space="preserve">Carl Reh Winery SRL is the legal entity behind the Crama Oprișor brand already researched in this workbook; leadership, ownership by Reh Kendermann GmbH and the full commercial team are recorded on the Crama Oprișor rows.</t>
  </si>
  <si>
    <t xml:space="preserve">See the Crama Oprișor row.</t>
  </si>
  <si>
    <t xml:space="preserve">Cross-reference, not a separate company: listed name is the legal entity behind Crama Oprișor. Its eight commercial staff are filed under Crama Oprișor and are not double-counted here.</t>
  </si>
  <si>
    <t xml:space="preserve">Amb Wine Company</t>
  </si>
  <si>
    <t xml:space="preserve">amb Wine Company SRL is the operating company behind the Liliac Winery brand already researched in this workbook; leadership, education and background are recorded on the Liliac Winery row.</t>
  </si>
  <si>
    <t xml:space="preserve">See the Liliac Winery row.</t>
  </si>
  <si>
    <t xml:space="preserve">Cross-reference, not a separate company: listed name is the operating company behind Liliac Winery. Not double-counted anywhere in this workbook.</t>
  </si>
  <si>
    <t xml:space="preserve">Vintruvian</t>
  </si>
  <si>
    <t xml:space="preserve">Vintruvian Estates is the group behind Via Viticola, already researched in this workbook, and the buyer of Villa Zorilor and the Prince Matei brand from Vinarte in 2019; leadership and background are recorded on the Via Viticola row.</t>
  </si>
  <si>
    <t xml:space="preserve">See the Via Viticola row.</t>
  </si>
  <si>
    <t xml:space="preserve">Cross-reference, not a separate company: listed name is the group behind Via Viticola. Its four commercial staff are filed under Via Viticola and are not double-counted here.</t>
  </si>
  <si>
    <t xml:space="preserve">Core discipline — one standardized value per leader: the profession they trained in or built their career on before wine, so the column can be filtered and counted. Where someone holds more than one, the documented education decides; where the education is not documented, the dominant career domain does. Permitted values: Wine Engineer · Agronomy / Horticulture · Engineering · Finance / Economics · Marketing / Sales · Law · Medicine · Academia · Entrepreneur / Owner · General Management · Not established. "Entrepreneur / Owner" means a self-made proprietor with no single prior profession on the record — it is a finding, not a gap. "Not established" means no leader was identified, or none of their background is public — that is a gap. "Wine Engineer" is reserved for documented oenology or wine-technology training; running a winery is not by itself enough. The unstandardized detail stays in the Background, Education and Career domains columns; this column never replaces them.</t>
  </si>
  <si>
    <t xml:space="preserve">Person</t>
  </si>
  <si>
    <t xml:space="preserve">Function</t>
  </si>
  <si>
    <t xml:space="preserve">Current role</t>
  </si>
  <si>
    <t xml:space="preserve">Seniority</t>
  </si>
  <si>
    <t xml:space="preserve">Roster KPI</t>
  </si>
  <si>
    <t xml:space="preserve">People</t>
  </si>
  <si>
    <t xml:space="preserve">Purcari Wineries / Crama Ceptura</t>
  </si>
  <si>
    <t xml:space="preserve">Oana Patricia Drăgușin</t>
  </si>
  <si>
    <t xml:space="preserve">Country Marketing Manager</t>
  </si>
  <si>
    <t xml:space="preserve">Marketing Leadership</t>
  </si>
  <si>
    <t xml:space="preserve">Leadership</t>
  </si>
  <si>
    <t xml:space="preserve">https://ro.linkedin.com/in/oana-patricia-dr%C4%83gu%C8%99in</t>
  </si>
  <si>
    <t xml:space="preserve">Diana Urecheanu</t>
  </si>
  <si>
    <t xml:space="preserve">Trade Marketing Manager</t>
  </si>
  <si>
    <t xml:space="preserve">Trade Marketing</t>
  </si>
  <si>
    <t xml:space="preserve">Manager</t>
  </si>
  <si>
    <t xml:space="preserve">https://ro.linkedin.com/in/dianaurecheanu</t>
  </si>
  <si>
    <t xml:space="preserve">Cătălin Velicu</t>
  </si>
  <si>
    <t xml:space="preserve">Regional Sales Manager</t>
  </si>
  <si>
    <t xml:space="preserve">Regional / Area Sales</t>
  </si>
  <si>
    <t xml:space="preserve">https://ro.linkedin.com/in/catalin-velicu-051259b9</t>
  </si>
  <si>
    <t xml:space="preserve">Veronica Moșneag</t>
  </si>
  <si>
    <t xml:space="preserve">Senior Marketing Manager</t>
  </si>
  <si>
    <t xml:space="preserve">https://vioser.md/functia-director-marketing/</t>
  </si>
  <si>
    <t xml:space="preserve">Adelina Palancica</t>
  </si>
  <si>
    <t xml:space="preserve">Brand Development Manager</t>
  </si>
  <si>
    <t xml:space="preserve">Brand / Product</t>
  </si>
  <si>
    <t xml:space="preserve">https://theorg.com/org/purcari-wineries-group/teams/marketing-management</t>
  </si>
  <si>
    <t xml:space="preserve">Marketing type</t>
  </si>
  <si>
    <t xml:space="preserve">Sales type</t>
  </si>
  <si>
    <t xml:space="preserve">Anton Tofan</t>
  </si>
  <si>
    <t xml:space="preserve">International Brand Manager</t>
  </si>
  <si>
    <t xml:space="preserve">International Marketing</t>
  </si>
  <si>
    <t xml:space="preserve">Commercial Leadership</t>
  </si>
  <si>
    <t xml:space="preserve">Maria Bezede</t>
  </si>
  <si>
    <t xml:space="preserve">International Marketing Manager</t>
  </si>
  <si>
    <t xml:space="preserve">https://md.linkedin.com/in/maria-bezede-962241215</t>
  </si>
  <si>
    <t xml:space="preserve">National Sales</t>
  </si>
  <si>
    <t xml:space="preserve">Anton Pavlovskiy</t>
  </si>
  <si>
    <t xml:space="preserve">https://theorg.com/org/purcari-wineries-group/teams/marketing-operations</t>
  </si>
  <si>
    <t xml:space="preserve">Bradu Valeria</t>
  </si>
  <si>
    <t xml:space="preserve">Assistant Trade Marketing Manager</t>
  </si>
  <si>
    <t xml:space="preserve">Digital / Social</t>
  </si>
  <si>
    <t xml:space="preserve">Key Accounts / Modern Trade</t>
  </si>
  <si>
    <t xml:space="preserve">Victoria Costovici</t>
  </si>
  <si>
    <t xml:space="preserve">Digital Marketing Manager</t>
  </si>
  <si>
    <t xml:space="preserve">https://md.linkedin.com/in/victoria-costovici-274744213</t>
  </si>
  <si>
    <t xml:space="preserve">PR / Communications</t>
  </si>
  <si>
    <t xml:space="preserve">HoReCa / On-Trade</t>
  </si>
  <si>
    <t xml:space="preserve">Julia Eyrich</t>
  </si>
  <si>
    <t xml:space="preserve">Content / Creative</t>
  </si>
  <si>
    <t xml:space="preserve">Export / International</t>
  </si>
  <si>
    <t xml:space="preserve">Alexandra Patrut</t>
  </si>
  <si>
    <t xml:space="preserve">https://ro.linkedin.com/pub/dir/%2B/Patrut/ro-0-Rom%C3%A2nia</t>
  </si>
  <si>
    <t xml:space="preserve">Distribution / Traditional Trade</t>
  </si>
  <si>
    <t xml:space="preserve">Regional Manager - MEA &amp; Turkey</t>
  </si>
  <si>
    <t xml:space="preserve">E-commerce / DTC</t>
  </si>
  <si>
    <t xml:space="preserve">Burcu Ateşer</t>
  </si>
  <si>
    <t xml:space="preserve">Regional Manager - Turkey &amp; North Cyprus</t>
  </si>
  <si>
    <t xml:space="preserve">https://theorg.com/org/purcari-wineries-group/teams/international-operations</t>
  </si>
  <si>
    <t xml:space="preserve">Horodinca Vlad Dumitru</t>
  </si>
  <si>
    <t xml:space="preserve">Area Sales Manager</t>
  </si>
  <si>
    <t xml:space="preserve">https://theorg.com/org/purcari-wineries-group/teams/sales-department</t>
  </si>
  <si>
    <t xml:space="preserve">Sales Management</t>
  </si>
  <si>
    <t xml:space="preserve">Dumitru Cioban</t>
  </si>
  <si>
    <t xml:space="preserve">Sales Specialist</t>
  </si>
  <si>
    <t xml:space="preserve">Sales Operations</t>
  </si>
  <si>
    <t xml:space="preserve">Specialist</t>
  </si>
  <si>
    <t xml:space="preserve">Cramele Recaș</t>
  </si>
  <si>
    <t xml:space="preserve">Radu Dumitrescu</t>
  </si>
  <si>
    <t xml:space="preserve">Marketing Director</t>
  </si>
  <si>
    <t xml:space="preserve">https://ro.linkedin.com/in/radu-dumitrescu-110077b</t>
  </si>
  <si>
    <t xml:space="preserve">Ligia-Elena Stroe</t>
  </si>
  <si>
    <t xml:space="preserve">https://ro.linkedin.com/in/ligia-stroe</t>
  </si>
  <si>
    <t xml:space="preserve">Ciprian Roșca</t>
  </si>
  <si>
    <t xml:space="preserve">Commercial Director Romania</t>
  </si>
  <si>
    <t xml:space="preserve">https://ro.linkedin.com/in/ciprian-rosca-94483b1a</t>
  </si>
  <si>
    <t xml:space="preserve">Miltiade Pietroiu</t>
  </si>
  <si>
    <t xml:space="preserve">National Sales Director</t>
  </si>
  <si>
    <t xml:space="preserve">https://ro.linkedin.com/in/miltiade-pietroiu-54438717</t>
  </si>
  <si>
    <t xml:space="preserve">Mihai-Traian Bodoc</t>
  </si>
  <si>
    <t xml:space="preserve">National Key Account Manager</t>
  </si>
  <si>
    <t xml:space="preserve">https://ro.linkedin.com/in/mihai-traian-bodoc-9b79b478</t>
  </si>
  <si>
    <t xml:space="preserve">Octavian Macavei</t>
  </si>
  <si>
    <t xml:space="preserve">Sales Manager</t>
  </si>
  <si>
    <t xml:space="preserve">https://ro.linkedin.com/in/octavian-macavei-3049a41a0</t>
  </si>
  <si>
    <t xml:space="preserve">Viorica Anghel</t>
  </si>
  <si>
    <t xml:space="preserve">Sales Business Analyst</t>
  </si>
  <si>
    <t xml:space="preserve">https://ro.linkedin.com/company/cramele-recas</t>
  </si>
  <si>
    <t xml:space="preserve">Eduard Raznic</t>
  </si>
  <si>
    <t xml:space="preserve">Regional Manager</t>
  </si>
  <si>
    <t xml:space="preserve">https://ro.linkedin.com/in/eduard-raznic-940b3232</t>
  </si>
  <si>
    <t xml:space="preserve">Cristian Fuga</t>
  </si>
  <si>
    <t xml:space="preserve">https://ro.linkedin.com/in/cristian-fuga-53773948</t>
  </si>
  <si>
    <t xml:space="preserve">Ana Necșulescu</t>
  </si>
  <si>
    <t xml:space="preserve">Communications Director</t>
  </si>
  <si>
    <t xml:space="preserve">https://ro.linkedin.com/in/ananecsulescu</t>
  </si>
  <si>
    <t xml:space="preserve">Mihai Bălănescu</t>
  </si>
  <si>
    <t xml:space="preserve">Sales Director</t>
  </si>
  <si>
    <t xml:space="preserve">https://ro.linkedin.com/in/mihai-balanescu-88044724</t>
  </si>
  <si>
    <t xml:space="preserve">Marius Stancu</t>
  </si>
  <si>
    <t xml:space="preserve">Export Director</t>
  </si>
  <si>
    <t xml:space="preserve">https://ro.linkedin.com/in/marius-stancu-72184650</t>
  </si>
  <si>
    <t xml:space="preserve">Sorin Gheorghe</t>
  </si>
  <si>
    <t xml:space="preserve">Sales Planning &amp; Regional Director South</t>
  </si>
  <si>
    <t xml:space="preserve">https://ro.linkedin.com/in/sorin-gheorghe-91035b3</t>
  </si>
  <si>
    <t xml:space="preserve">Marius Covete</t>
  </si>
  <si>
    <t xml:space="preserve">https://ro.linkedin.com/in/marius-covete-b64816148</t>
  </si>
  <si>
    <t xml:space="preserve">Claudiu Dragan Murg</t>
  </si>
  <si>
    <t xml:space="preserve">https://ro.linkedin.com/in/claudiu-dragan-murg-80174a114</t>
  </si>
  <si>
    <t xml:space="preserve">Ștefan Matei</t>
  </si>
  <si>
    <t xml:space="preserve">https://ro.linkedin.com/in/stefan-matei-a63aab107</t>
  </si>
  <si>
    <t xml:space="preserve">Silviu Fenea</t>
  </si>
  <si>
    <t xml:space="preserve">Creative, Marketing &amp; Campaign Solutions</t>
  </si>
  <si>
    <t xml:space="preserve">https://ro.linkedin.com/in/b1studio</t>
  </si>
  <si>
    <t xml:space="preserve">Adelina Șuța</t>
  </si>
  <si>
    <t xml:space="preserve">https://ro.linkedin.com/in/adelina-suta-803b52189</t>
  </si>
  <si>
    <t xml:space="preserve">Cătălin Grecu</t>
  </si>
  <si>
    <t xml:space="preserve">Export Manager</t>
  </si>
  <si>
    <t xml:space="preserve">https://ro.linkedin.com/company/cramele-cotnari</t>
  </si>
  <si>
    <t xml:space="preserve">Vasile Scorteanu</t>
  </si>
  <si>
    <t xml:space="preserve">Key Account Executive</t>
  </si>
  <si>
    <t xml:space="preserve">https://ro.linkedin.com/in/scorteanu-vasile-656145203</t>
  </si>
  <si>
    <t xml:space="preserve">Marin Borcan</t>
  </si>
  <si>
    <t xml:space="preserve">Ana-Maria Vrînceanu</t>
  </si>
  <si>
    <t xml:space="preserve">https://ro.linkedin.com/in/ana-maria-vrinceanu-59674315</t>
  </si>
  <si>
    <t xml:space="preserve">Corina Nedelcu</t>
  </si>
  <si>
    <t xml:space="preserve">Product Manager</t>
  </si>
  <si>
    <t xml:space="preserve">https://ro.linkedin.com/company/beciuldomnesc</t>
  </si>
  <si>
    <t xml:space="preserve">Mihaela Calciu</t>
  </si>
  <si>
    <t xml:space="preserve">https://ro.linkedin.com/in/mihaela-calciu-2022743a</t>
  </si>
  <si>
    <t xml:space="preserve">Ermina-Camelia Burciu</t>
  </si>
  <si>
    <t xml:space="preserve">Senior Brand Marketing Manager</t>
  </si>
  <si>
    <t xml:space="preserve">https://ro.linkedin.com/in/ermina-camelia-burciu-0603b5169</t>
  </si>
  <si>
    <t xml:space="preserve">Roxana Aldulea</t>
  </si>
  <si>
    <t xml:space="preserve">Commercial Director</t>
  </si>
  <si>
    <t xml:space="preserve">https://ro.linkedin.com/in/aldulea-roxana-32aa4732</t>
  </si>
  <si>
    <t xml:space="preserve">Valentin Caraivan</t>
  </si>
  <si>
    <t xml:space="preserve">National Sales Manager — Traditional Trade</t>
  </si>
  <si>
    <t xml:space="preserve">https://ro.linkedin.com/in/valentin-caraivan-3450596</t>
  </si>
  <si>
    <t xml:space="preserve">Valentina Bocșe</t>
  </si>
  <si>
    <t xml:space="preserve">Manager Reporting &amp; Business Intelligence</t>
  </si>
  <si>
    <t xml:space="preserve">https://ro.linkedin.com/in/valentina-bocse-79702811</t>
  </si>
  <si>
    <t xml:space="preserve">Andrei-Nicolae Mustăţea</t>
  </si>
  <si>
    <t xml:space="preserve">Cristian Popescu</t>
  </si>
  <si>
    <t xml:space="preserve">https://ro.linkedin.com/in/cristian-popescu-33a9b415a</t>
  </si>
  <si>
    <t xml:space="preserve">Domeniile Averești</t>
  </si>
  <si>
    <t xml:space="preserve">Crina Duluțe Florea</t>
  </si>
  <si>
    <t xml:space="preserve">Vice President &amp; Marketing Manager</t>
  </si>
  <si>
    <t xml:space="preserve">https://ro.linkedin.com/in/crina-dulute-florea-88415a19</t>
  </si>
  <si>
    <t xml:space="preserve">Dan Ștefănescu</t>
  </si>
  <si>
    <t xml:space="preserve">Head of National Key Accounts</t>
  </si>
  <si>
    <t xml:space="preserve">https://ro.linkedin.com/in/dan-stefanescu-40a64813</t>
  </si>
  <si>
    <t xml:space="preserve">Constantin Munteanu</t>
  </si>
  <si>
    <t xml:space="preserve">Zonal Sales Manager</t>
  </si>
  <si>
    <t xml:space="preserve">https://ro.linkedin.com/in/constantin-munteanu-7ab76180</t>
  </si>
  <si>
    <t xml:space="preserve">Romică Dumitru</t>
  </si>
  <si>
    <t xml:space="preserve">https://www.linkedin.com/company/domeniile-averesti-romania/</t>
  </si>
  <si>
    <t xml:space="preserve">Monica Florean</t>
  </si>
  <si>
    <t xml:space="preserve">Marketing Manager</t>
  </si>
  <si>
    <t xml:space="preserve">https://ro.linkedin.com/in/florean-monica-201471a0</t>
  </si>
  <si>
    <t xml:space="preserve">Radu Biru</t>
  </si>
  <si>
    <t xml:space="preserve">National Sales Manager</t>
  </si>
  <si>
    <t xml:space="preserve">https://pk.linkedin.com/company/budureasca1</t>
  </si>
  <si>
    <t xml:space="preserve">Valentina Bratu</t>
  </si>
  <si>
    <t xml:space="preserve">https://ro.linkedin.com/company/budureasca1</t>
  </si>
  <si>
    <t xml:space="preserve">Radu Emil Pop</t>
  </si>
  <si>
    <t xml:space="preserve">Regional Sales Manager — Ardeal &amp; Banat</t>
  </si>
  <si>
    <t xml:space="preserve">https://ro.linkedin.com/in/pop-radu-emil-b068aa30</t>
  </si>
  <si>
    <t xml:space="preserve">Corina Cernea</t>
  </si>
  <si>
    <t xml:space="preserve">Online Sales Manager</t>
  </si>
  <si>
    <t xml:space="preserve">https://ro.linkedin.com/in/corina-cernea-792ab340</t>
  </si>
  <si>
    <t xml:space="preserve">Tohani România</t>
  </si>
  <si>
    <t xml:space="preserve">Oana Stan</t>
  </si>
  <si>
    <t xml:space="preserve">https://ro.linkedin.com/in/oana-stan-83362a155</t>
  </si>
  <si>
    <t xml:space="preserve">Sorin Scheuleac</t>
  </si>
  <si>
    <t xml:space="preserve">Distribution Development Manager</t>
  </si>
  <si>
    <t xml:space="preserve">https://ro.linkedin.com/in/sorin-scheuleac-73405b3a</t>
  </si>
  <si>
    <t xml:space="preserve">Rareș Ștefănică</t>
  </si>
  <si>
    <t xml:space="preserve">Shop Manager</t>
  </si>
  <si>
    <t xml:space="preserve">https://www.linkedin.com/company/tohani-romania</t>
  </si>
  <si>
    <t xml:space="preserve">Mădălin Simion</t>
  </si>
  <si>
    <t xml:space="preserve">https://ro.linkedin.com/in/madalin-simion-024113a</t>
  </si>
  <si>
    <t xml:space="preserve">Alexandra Roman</t>
  </si>
  <si>
    <t xml:space="preserve">Junior Brand Manager</t>
  </si>
  <si>
    <t xml:space="preserve">https://ro.linkedin.com/in/alexandra-roman-75855a228</t>
  </si>
  <si>
    <t xml:space="preserve">Flavius Oltean</t>
  </si>
  <si>
    <t xml:space="preserve">Director of Commercial Sales</t>
  </si>
  <si>
    <t xml:space="preserve">https://ro.linkedin.com/in/flavius-oltean-209510aa</t>
  </si>
  <si>
    <t xml:space="preserve">Adrian Lungu</t>
  </si>
  <si>
    <t xml:space="preserve">https://ro.linkedin.com/in/adrian-lungu-277a46130</t>
  </si>
  <si>
    <t xml:space="preserve">Iulian Ș.</t>
  </si>
  <si>
    <t xml:space="preserve">HoReCa, Retail &amp; Modern Trade Sales Manager</t>
  </si>
  <si>
    <t xml:space="preserve">https://ro.linkedin.com/in/iulian-%C5%9F-0356432b</t>
  </si>
  <si>
    <t xml:space="preserve">Lucian Atasiei</t>
  </si>
  <si>
    <t xml:space="preserve">https://ro.linkedin.com/in/lucian-atasiei-04b098228</t>
  </si>
  <si>
    <t xml:space="preserve">Constantin Neagu</t>
  </si>
  <si>
    <t xml:space="preserve">https://ro.linkedin.com/in/neagu-constantin-b624b31a</t>
  </si>
  <si>
    <t xml:space="preserve">Cramele Recaș / Murfatlar</t>
  </si>
  <si>
    <t xml:space="preserve">Horatiu Teodorescu</t>
  </si>
  <si>
    <t xml:space="preserve">Regional / National Sales Manager</t>
  </si>
  <si>
    <t xml:space="preserve">https://ro.linkedin.com/in/horatiu-teodorescu-0b713a19a</t>
  </si>
  <si>
    <t xml:space="preserve">Poliana Parichi</t>
  </si>
  <si>
    <t xml:space="preserve">Wine Marketing Executive</t>
  </si>
  <si>
    <t xml:space="preserve">https://ro.linkedin.com/in/poliana-parichi-1b7266241</t>
  </si>
  <si>
    <t xml:space="preserve">Ștefan Mihăilescu</t>
  </si>
  <si>
    <t xml:space="preserve">Director of Sales &amp; Business Development</t>
  </si>
  <si>
    <t xml:space="preserve">https://ro.linkedin.com/in/stefan-mihailescu-123a0658</t>
  </si>
  <si>
    <t xml:space="preserve">Florin Preda</t>
  </si>
  <si>
    <t xml:space="preserve">Business Development Manager</t>
  </si>
  <si>
    <t xml:space="preserve">https://ro.linkedin.com/in/florin-preda-24866a13</t>
  </si>
  <si>
    <t xml:space="preserve">Bogdan Stoica</t>
  </si>
  <si>
    <t xml:space="preserve">https://ro.linkedin.com/in/bogdan-stoica-40b4607a</t>
  </si>
  <si>
    <t xml:space="preserve">Viorel Chelba</t>
  </si>
  <si>
    <t xml:space="preserve">https://ro.linkedin.com/in/chelba-viorel-959962168</t>
  </si>
  <si>
    <t xml:space="preserve">Daniel Zottu</t>
  </si>
  <si>
    <t xml:space="preserve">Brand Manager / Sommelier</t>
  </si>
  <si>
    <t xml:space="preserve">https://ro.linkedin.com/in/daniel-zottu-818b4081</t>
  </si>
  <si>
    <t xml:space="preserve">Aurel Ștefan</t>
  </si>
  <si>
    <t xml:space="preserve">https://www.domeniileostrov.ro/blogs/blog-domeniile-ostrov/aurel-%C8%99tefan-director-comercial-domeniile-ostrov-vrem-o-cre%C8%99tere-de-minimum-20-in-2025</t>
  </si>
  <si>
    <t xml:space="preserve">Laurențiu Cristi Stancu</t>
  </si>
  <si>
    <t xml:space="preserve">Regional Sales Manager — Oltenia &amp; Muntenia South</t>
  </si>
  <si>
    <t xml:space="preserve">https://ro.linkedin.com/in/laurentiu-cristi-stancu-25724030</t>
  </si>
  <si>
    <t xml:space="preserve">Casa de Vinuri Cotnari</t>
  </si>
  <si>
    <t xml:space="preserve">Cătălin Mureșan</t>
  </si>
  <si>
    <t xml:space="preserve">Regional Sales Director</t>
  </si>
  <si>
    <t xml:space="preserve">https://ro.linkedin.com/company/casa-de-vinuri-cotnari-sa</t>
  </si>
  <si>
    <t xml:space="preserve">Laurențiu Dan Ivan</t>
  </si>
  <si>
    <t xml:space="preserve">HoReCa Sales Manager</t>
  </si>
  <si>
    <t xml:space="preserve">https://ro.linkedin.com/in/laurentiu-dan-ivan-5a846092</t>
  </si>
  <si>
    <t xml:space="preserve">Marian Olteanu</t>
  </si>
  <si>
    <t xml:space="preserve">https://ro.linkedin.com/in/marianolteanu</t>
  </si>
  <si>
    <t xml:space="preserve">Alina Vasile</t>
  </si>
  <si>
    <t xml:space="preserve">https://ro.linkedin.com/in/alina-vasile-98a87016</t>
  </si>
  <si>
    <t xml:space="preserve">Dan Roșca</t>
  </si>
  <si>
    <t xml:space="preserve">https://ro.linkedin.com/in/dan02rosca</t>
  </si>
  <si>
    <t xml:space="preserve">Alexandru Bancu</t>
  </si>
  <si>
    <t xml:space="preserve">https://ro.linkedin.com/in/alexandru-bancu-67549583</t>
  </si>
  <si>
    <t xml:space="preserve">Via Viticola / Vintruvian Estates</t>
  </si>
  <si>
    <t xml:space="preserve">Mirela Caracote</t>
  </si>
  <si>
    <t xml:space="preserve">https://ro.linkedin.com/in/caracote-mirela-97601374</t>
  </si>
  <si>
    <t xml:space="preserve">Andreea Tăbîrcă</t>
  </si>
  <si>
    <t xml:space="preserve">https://ro.linkedin.com/in/andreea-t%C4%83b%C3%AErc%C4%83-262888125</t>
  </si>
  <si>
    <t xml:space="preserve">Daniel Negrescu</t>
  </si>
  <si>
    <t xml:space="preserve">Brand Strategist</t>
  </si>
  <si>
    <t xml:space="preserve">https://ro.linkedin.com/in/daniel-negrescu-00773b5</t>
  </si>
  <si>
    <t xml:space="preserve">Valentin Zaharia</t>
  </si>
  <si>
    <t xml:space="preserve">National HoReCa Development Manager</t>
  </si>
  <si>
    <t xml:space="preserve">https://ro.linkedin.com/in/valentin-zaharia-93aa894b</t>
  </si>
  <si>
    <t xml:space="preserve">Laurențiu Moraru</t>
  </si>
  <si>
    <t xml:space="preserve">https://ro.linkedin.com/in/laurentiu-moraru-72a692162</t>
  </si>
  <si>
    <t xml:space="preserve">Cristian Draghici</t>
  </si>
  <si>
    <t xml:space="preserve">Key Account Sales Manager</t>
  </si>
  <si>
    <t xml:space="preserve">https://ro.linkedin.com/in/cristian-draghici-20bb10235</t>
  </si>
  <si>
    <t xml:space="preserve">Costel Cainamisir</t>
  </si>
  <si>
    <t xml:space="preserve">https://ro.linkedin.com/in/costel-cainamisir-416974257</t>
  </si>
  <si>
    <t xml:space="preserve">Lilia Dulgher</t>
  </si>
  <si>
    <t xml:space="preserve">Marketing &amp; Sales Manager</t>
  </si>
  <si>
    <t xml:space="preserve">Sergiu Matei</t>
  </si>
  <si>
    <t xml:space="preserve">https://www.linkedin.com/in/sergiu-matei-2635b61ba/</t>
  </si>
  <si>
    <t xml:space="preserve">Luminița Tzakis</t>
  </si>
  <si>
    <t xml:space="preserve">Gabriel Cristea</t>
  </si>
  <si>
    <t xml:space="preserve">Regional Sales Manager — South-East</t>
  </si>
  <si>
    <t xml:space="preserve">Florin Ionescu</t>
  </si>
  <si>
    <t xml:space="preserve">Regional Sales Manager — North-West</t>
  </si>
  <si>
    <t xml:space="preserve">Iliuță Cucu</t>
  </si>
  <si>
    <t xml:space="preserve">Regional Sales Manager — HoReCa</t>
  </si>
  <si>
    <t xml:space="preserve">Horațiu Negru</t>
  </si>
  <si>
    <t xml:space="preserve">Regional Sales Manager — Centre / Transylvania</t>
  </si>
  <si>
    <t xml:space="preserve">Roxana Ferchiu</t>
  </si>
  <si>
    <t xml:space="preserve">Regional Sales Manager — East</t>
  </si>
  <si>
    <t xml:space="preserve">Alexandra Ciungu</t>
  </si>
  <si>
    <t xml:space="preserve">Regional Sales Manager — Oltenia</t>
  </si>
  <si>
    <t xml:space="preserve">Cătălin Șimon</t>
  </si>
  <si>
    <t xml:space="preserve">Ana Pricop</t>
  </si>
  <si>
    <t xml:space="preserve">Communication Manager</t>
  </si>
  <si>
    <t xml:space="preserve">Marian Apostol</t>
  </si>
  <si>
    <t xml:space="preserve">Commercial Director — wines</t>
  </si>
  <si>
    <t xml:space="preserve">https://www.domeniilepanciu.ro/contact</t>
  </si>
  <si>
    <t xml:space="preserve">Ruxanda Lipcan</t>
  </si>
  <si>
    <t xml:space="preserve">Sales &amp; Marketing Director</t>
  </si>
  <si>
    <t xml:space="preserve">Total People</t>
  </si>
  <si>
    <t xml:space="preserve">Total Marketing</t>
  </si>
  <si>
    <t xml:space="preserve">Total Sales</t>
  </si>
  <si>
    <t xml:space="preserve">Company total</t>
  </si>
  <si>
    <t xml:space="preserve">Counts are formula-driven from the Commercial People sheet. Wineries added on 2026-08-21 are researched from public sources only — company team pages, trade press and job boards — because the LinkedIn capture behind the original rows could not be reproduced. Where no marketing or sales person is named publicly, the row reads zero: that means no public evidence was found, not that the function is unstaffed.</t>
  </si>
  <si>
    <t xml:space="preserve">LinkedIn associated members</t>
  </si>
  <si>
    <t xml:space="preserve">Employee source / freshness</t>
  </si>
  <si>
    <t xml:space="preserve">Recent public roles found</t>
  </si>
  <si>
    <t xml:space="preserve">Hiring takeaway</t>
  </si>
  <si>
    <t xml:space="preserve">Campaign pattern</t>
  </si>
  <si>
    <t xml:space="preserve">Representative campaigns</t>
  </si>
  <si>
    <t xml:space="preserve">Campaign source(s)</t>
  </si>
  <si>
    <t xml:space="preserve">Notes / confidence</t>
  </si>
  <si>
    <t xml:space="preserve">Workbook LinkedIn capture: 2026-08-18</t>
  </si>
  <si>
    <t xml:space="preserve">Three recent LinkedIn roles found; no dedicated vacancy page located on the official website.</t>
  </si>
  <si>
    <t xml:space="preserve">Romanian identity, culture, vineyard experiences and prestige partnerships</t>
  </si>
  <si>
    <t xml:space="preserve">Weinland Trails; Strugurele de Aur; Spirit launch; cultural diplomacy; Olympics; seasonal must</t>
  </si>
  <si>
    <t xml:space="preserve">Member count is LinkedIn-associated, not payroll; campaign pattern is strongly evidenced.</t>
  </si>
  <si>
    <t xml:space="preserve">No current role located on the official website or reviewed public company channels.</t>
  </si>
  <si>
    <t xml:space="preserve">Prize-led seasonal promotions plus always-on occasions and heritage</t>
  </si>
  <si>
    <t xml:space="preserve">Somelier de grătar; cabin weekend; Easter/Europa FM; Rosé Vérité; office occasions; cellar heritage</t>
  </si>
  <si>
    <t xml:space="preserve">https://www.linkedin.com/company/beciuldomnesc/</t>
  </si>
  <si>
    <t xml:space="preserve">Official social channels supply much of the campaign evidence.</t>
  </si>
  <si>
    <t xml:space="preserve">Five roles appear on the official paid-internship site; three additional recent corporate postings were found.</t>
  </si>
  <si>
    <t xml:space="preserve">Premium launches, ESG/research, education and international reputation</t>
  </si>
  <si>
    <t xml:space="preserve">Parcela; Orange wine; RDW; 4SIR2; biodiversity; scholarships; masterclasses; awards; 2X by 200</t>
  </si>
  <si>
    <t xml:space="preserve">https://purcariwineries.com/en/category/news-en/</t>
  </si>
  <si>
    <t xml:space="preserve">Public-company and official group sources provide strong current evidence.</t>
  </si>
  <si>
    <t xml:space="preserve">No current role or dedicated careers page located on the official website or reviewed public channels.</t>
  </si>
  <si>
    <t xml:space="preserve">Festivals, vineyard-season stories, arts partnerships and awards</t>
  </si>
  <si>
    <t xml:space="preserve">RO-Wine; Revino; Maison AMÉ; Vienna Ball; Recolta 2026; Berliner Wine Trophy; winery tourism</t>
  </si>
  <si>
    <t xml:space="preserve">Campaign evidence is strong; employee count remains LinkedIn-associated.</t>
  </si>
  <si>
    <t xml:space="preserve">No current role or dedicated careers page located on the official Vintruvian Estates website.</t>
  </si>
  <si>
    <t xml:space="preserve">Terroir-led portfolio architecture, export activity and turnaround storytelling</t>
  </si>
  <si>
    <t xml:space="preserve">Caii de la Letea; Prince Matei; Vintruvian house; ProWein; founder revival; recipe contest</t>
  </si>
  <si>
    <t xml:space="preserve">https://www.linkedin.com/company/viaviticola</t>
  </si>
  <si>
    <t xml:space="preserve">Via Viticola is the marketing and sales company within Vintruvian Estates.</t>
  </si>
  <si>
    <t xml:space="preserve">Wine tourism, international trade/awards and people stories</t>
  </si>
  <si>
    <t xml:space="preserve">Experiențe cu Vin; Cină în Vie; Saguenay; ProWein; Alimentaria; Decanter; People of Budureasca</t>
  </si>
  <si>
    <t xml:space="preserve">Official LinkedIn is the strongest current campaign source.</t>
  </si>
  <si>
    <t xml:space="preserve">Workbook baseline; public page showed 58 associated members in Aug. 2026</t>
  </si>
  <si>
    <t xml:space="preserve">Official careers page lists an urgent Bucharest merchandiser opening; verify before applying.</t>
  </si>
  <si>
    <t xml:space="preserve">Heritage modernization, ambassadors, everyday occasions and convenient formats</t>
  </si>
  <si>
    <t xml:space="preserve">Ilie Dumitrescu; Gustul ne aduce împreună; dinner pairing; RTDs; summer menu; Zero.0%</t>
  </si>
  <si>
    <t xml:space="preserve">Website and official careers/news pages provide direct company evidence.</t>
  </si>
  <si>
    <t xml:space="preserve">No current role or dedicated careers page located on the official website; an older sales post was excluded.</t>
  </si>
  <si>
    <t xml:space="preserve">National prize promotions, retail mechanics, event utility and Romanian provenance</t>
  </si>
  <si>
    <t xml:space="preserve">Caravana; Annabella; cinema tickets; calculator; Patria vinului bine făcut; heritage education</t>
  </si>
  <si>
    <t xml:space="preserve">Kept separate from Casa de Vinuri Cotnari.</t>
  </si>
  <si>
    <t xml:space="preserve">#PurRomanesc, native varieties, estate heritage and social contests</t>
  </si>
  <si>
    <t xml:space="preserve">#PurRomanesc; IRIS; Inedit; Castelul Vlădoianu; native-variety ranges; awards</t>
  </si>
  <si>
    <t xml:space="preserve">Kept separate from Cramele Cotnari; premium portfolio entity.</t>
  </si>
  <si>
    <t xml:space="preserve">Awards-led reputation rebuilding, hero products, terroir and corporate gifting</t>
  </si>
  <si>
    <t xml:space="preserve">CMB cycle; 3 Hectare; Charme de la Mer; Vinalies; holiday gifting; Dobrogea portfolio</t>
  </si>
  <si>
    <t xml:space="preserve">https://ro.linkedin.com/company/murfatlar-vinul</t>
  </si>
  <si>
    <t xml:space="preserve">LinkedIn-associated count is not payroll; campaign evidence is official-channel based.</t>
  </si>
  <si>
    <t xml:space="preserve">No current role or dedicated careers page located on the official website or reviewed company channels.</t>
  </si>
  <si>
    <t xml:space="preserve">Indigenous-variety premiumization, education, partnerships and repeated export/trade activity</t>
  </si>
  <si>
    <t xml:space="preserve">Zghihară sparkling; Ione Cuvée 50; #CuriozitateaAverești; ProWine Tokyo; ProWein; Povestea Alb Vișinie; TIFF</t>
  </si>
  <si>
    <t xml:space="preserve">https://ro.linkedin.com/company/domeniile-averesti-romania</t>
  </si>
  <si>
    <t xml:space="preserve">Country-manager and campaign evidence is strong; member count remains LinkedIn-associated.</t>
  </si>
  <si>
    <t xml:space="preserve">Wine tourism and experiential events supported by heritage, music and premium Fetească Neagră</t>
  </si>
  <si>
    <t xml:space="preserve">Historic winery reopening; Subcarpați; anniversary tours; Vino unde se face vinul; Apogeum; trail race</t>
  </si>
  <si>
    <t xml:space="preserve">Official site provides unusually rich recurring event evidence.</t>
  </si>
  <si>
    <t xml:space="preserve">No current role or dedicated careers page located; an older salesperson listing was excluded.</t>
  </si>
  <si>
    <t xml:space="preserve">E-commerce promotions, Romanian/Dobrogea heritage, awards, seasonal merchandising and trade fairs</t>
  </si>
  <si>
    <t xml:space="preserve">Naiada online growth; Pelin relaunch; Wines of the Month; 3+1; WBWE; ProWine Tokyo</t>
  </si>
  <si>
    <t xml:space="preserve">https://www.domeniileostrov.ro/blogs/comunicate-de-presa</t>
  </si>
  <si>
    <t xml:space="preserve">CEO evidence is strong; exact engineering degree details are not publicly specified.</t>
  </si>
  <si>
    <t xml:space="preserve">No open Ceptura role at check. The winery recruits through a BestJobs employer profile (57 alumni listed) rather than a careers page, and its IT Help Desk listing there is closed to new applications.</t>
  </si>
  <si>
    <t xml:space="preserve">A people-first „Ne aduce împreună” masterbrand platform running since 2019, worked through TV, recurring radio-station co-promotions and an annual awards drumbeat</t>
  </si>
  <si>
    <t xml:space="preserve">Ne aduce împreună (2019); Împreună pentru mai bine (2020); Împreună, dincolo de granițe (2021); Magic FM, Rock FM and Radio ZU co-promotions; Decanter and Vinalies 2026; SERVE Ceptura acquisition</t>
  </si>
  <si>
    <t xml:space="preserve">Purcari subsidiary and the group's Romanian commercial entity: it organises promotions for the whole Purcari portfolio, so part of its commercial roster is shared with Purcari. LinkedIn shows five sales-function members but only one is publicly identifiable by name. The group has been about 73% Maspex-owned since 2025. A Feb. 2025 trade-press dispute over Moldovan-produced wine sold under the Ceptura mark is a live brand-origin risk. Campaign, hiring and awards evidence refreshed 2026-08-21; LinkedIn counts unchanged from the 2026-08-18 capture.</t>
  </si>
  <si>
    <t xml:space="preserve">A recent Sales &amp; Development Director listing is closed/filled; no current vacancy page was located.</t>
  </si>
  <si>
    <t xml:space="preserve">Curated premium education, cultural sponsorships, vintage storytelling and selective launches</t>
  </si>
  <si>
    <t xml:space="preserve">Vast/Iacob premieres; Universul Davino; Trilogia Davino; Cu Drag MT; VINARIUM awards</t>
  </si>
  <si>
    <t xml:space="preserve">https://ro.linkedin.com/company/davino-winery</t>
  </si>
  <si>
    <t xml:space="preserve">Founder-leader evidence is strong; formal CEO title and education are not recently published.</t>
  </si>
  <si>
    <t xml:space="preserve">Public sources checked 2026-08-21; no LinkedIn capture</t>
  </si>
  <si>
    <t xml:space="preserve">No open role found. Recruitment presence is limited to a BestJobs employer profile with 6 alumni; the official site carries no careers route.</t>
  </si>
  <si>
    <t xml:space="preserve">Competition-led reputation building, anchored on repeat MUNDUS VINI producer titles, plus a long consumer prize promotion and selective export fairs</t>
  </si>
  <si>
    <t xml:space="preserve">Roata Vinului 2025; Decanter 2025 gold and Best Value; MUNDUS VINI Spring 2026 (21 medals); WineCon Chengdu 2026; Decanter 2026</t>
  </si>
  <si>
    <t xml:space="preserve">Awards and campaign evidence are strong and current. No commercial staff are named in public sources, so the roster and type split are empty rather than estimated.</t>
  </si>
  <si>
    <t xml:space="preserve">No open role found. Recruitment presence is a BestJobs employer profile under the producing company; neither official site carries a careers route.</t>
  </si>
  <si>
    <t xml:space="preserve">Local festival heritage, princely brand naming and domestic competition awards, sold through a separate distribution identity</t>
  </si>
  <si>
    <t xml:space="preserve">Festivalul Viei și Vinului 2026; VINVEST and Vinul.ro awards; Prințul Vlad and Emissarius ranges; Plaiurile Drâncei terroir claim</t>
  </si>
  <si>
    <t xml:space="preserve">Campaign evidence is regional and largely undated. No commercial staff are named in public sources.</t>
  </si>
  <si>
    <t xml:space="preserve">No open role found. Recruitment presence is a BestJobs employer profile with a single alumnus; the official site carries no careers route.</t>
  </si>
  <si>
    <t xml:space="preserve">A single outsized Decanter result worked hard, supported by manor-house wine tourism and collective regional promotion</t>
  </si>
  <si>
    <t xml:space="preserve">Decanter 2018 gold for Bon Viveur; standing awards page; Nicolau manor tastings; Serafim and Anno ranges; Asociația Dealu Mare</t>
  </si>
  <si>
    <t xml:space="preserve">Award evidence is strong but dated; recent campaign activity is thin in public sources. No commercial staff are named.</t>
  </si>
  <si>
    <t xml:space="preserve">Public sources checked 2026-08-21</t>
  </si>
  <si>
    <t xml:space="preserve">No open role found. The winery publishes a People page naming four roles but advertises no vacancy and has no careers section.</t>
  </si>
  <si>
    <t xml:space="preserve">A trademark-led family house selling Romania-first, with new flagships launched under one name and the Moldovan country brand behind it</t>
  </si>
  <si>
    <t xml:space="preserve">Gitana trademark (2009); Romania-first retail and HoReCa model; Lupi and La petite Sophie launches; Wine of Moldova programme</t>
  </si>
  <si>
    <t xml:space="preserve">Moldova-based producer, included because Romania is its main market — not a Romanian winery. Roles come from the winery's own People page, so confidence is high but the roster is small by construction.</t>
  </si>
  <si>
    <t xml:space="preserve">No open role found. Recruitment presence is a BestJobs employer profile with 2 alumni under the producing company.</t>
  </si>
  <si>
    <t xml:space="preserve">An FMCG owner's playbook: a founder-named flagship, upward line extensions and prestige placements, backed by a national producer-of-the-year title</t>
  </si>
  <si>
    <t xml:space="preserve">Best national producer 2024; Carpathia and ALAI launches; Carpathia at Miss România; Château Valvis; Vinalies 2026</t>
  </si>
  <si>
    <t xml:space="preserve">Ownership and campaign evidence are strong. No marketing or sales staff are named in public sources, so the roster is empty rather than estimated.</t>
  </si>
  <si>
    <t xml:space="preserve">No open role found. Recruitment presence is a BestJobs employer profile with 4 alumni; the site is commerce and events only.</t>
  </si>
  <si>
    <t xml:space="preserve">A destination winery: ticketed concerts on the Danube, a named star winemaker, a split serious-and-playful portfolio and direct e-commerce</t>
  </si>
  <si>
    <t xml:space="preserve">AER / AER LIBER concert series; Acasă la vin with Unvinpezi.ro (2025); Răzvan Macici releases; Creația vs Recreația ranges; Rasova&amp;Friends</t>
  </si>
  <si>
    <t xml:space="preserve">Campaign evidence is unusually rich and self-published. No marketing or sales staff are named in public sources.</t>
  </si>
  <si>
    <t xml:space="preserve">No open role found. Recruitment presence is a BestJobs employer profile with 15 alumni under amb Wine Company.</t>
  </si>
  <si>
    <t xml:space="preserve">A region-owning brand platform run by a marketing-trained CEO, worked through cross-border collaboration, tourism investment and business-press presence</t>
  </si>
  <si>
    <t xml:space="preserve">Tandem with Castel Mimi; 3.4 m euro expansion and lodge; guardian-of-Transylvania platform; CEO interviews; tiered labels</t>
  </si>
  <si>
    <t xml:space="preserve">Leadership evidence including education is strong. Beyond the CEO, no marketing or sales staff are named in public sources.</t>
  </si>
  <si>
    <t xml:space="preserve">No open role found. The winery publishes a full named team with direct contacts but no careers page; a BestJobs employer profile exists under Carl Reh Winery.</t>
  </si>
  <si>
    <t xml:space="preserve">Cultural patronage and thorough localisation: a museum-partnered art prize, a Romanian place name over a German parent, and folklore-derived range names</t>
  </si>
  <si>
    <t xml:space="preserve">Premiile Crama Oprișor pentru Desen Contemporan; 2008 rename; La Cetate flagship; folklore brand naming; published sales team</t>
  </si>
  <si>
    <t xml:space="preserve">https://www.crama-oprisor.com/</t>
  </si>
  <si>
    <t xml:space="preserve">The strongest publicly documented commercial roster of any winery added here — eight sales roles including a dedicated HoReCa manager, all from the winery's own team page. No marketing role is published.</t>
  </si>
  <si>
    <t xml:space="preserve">No open role found. Recruitment presence is a BestJobs employer profile with 11 alumni.</t>
  </si>
  <si>
    <t xml:space="preserve">A winemaker-as-brand house with the portfolio split by sales channel rather than by tier, plus small-batch storytelling and regional collective promotion</t>
  </si>
  <si>
    <t xml:space="preserve">Aurelia Vișinescu masterbrand; Nomad / Artisan / Karakter / Anima HoReCa split; Promessa and Etika retail lines; Asociația Dealu Mare; cellar visits</t>
  </si>
  <si>
    <t xml:space="preserve">Brand architecture is well documented; dated campaign activity for 2025–2026 was not found in public sources. No marketing or sales staff are named apart from the founder.</t>
  </si>
  <si>
    <t xml:space="preserve">No open role found. Recruitment presence is a BestJobs employer profile with 2 alumni.</t>
  </si>
  <si>
    <t xml:space="preserve">A naming concept that doubles as the brand story, extended into a plot-adoption programme and defended by HoReCa-only distribution</t>
  </si>
  <si>
    <t xml:space="preserve">1000 de chipuri portrait labels; Vinul tău din via ta; HoReCa-only route to market; 2 m euro winery expansion; three collections</t>
  </si>
  <si>
    <t xml:space="preserve">Founder and business evidence is strong from business-press interviews. No marketing or sales staff are named in public sources.</t>
  </si>
  <si>
    <t xml:space="preserve">No open role found. Recruitment presence is a BestJobs employer profile with no published alumni count.</t>
  </si>
  <si>
    <t xml:space="preserve">A single owned symbol and a borrowed estate history, worked through national grocery listings rather than events or awards</t>
  </si>
  <si>
    <t xml:space="preserve">Ballerina emblem; General Teodrini estate provenance; Negrini Premium and Hex ranges; Negru de Drăgășani</t>
  </si>
  <si>
    <t xml:space="preserve">The thinnest public evidence base of the wineries added here: no dated campaigns, no awards and no named staff beyond the founder were located.</t>
  </si>
  <si>
    <t xml:space="preserve">No open role found. A BestJobs employer profile exists but carries no company detail; the official site has no careers route.</t>
  </si>
  <si>
    <t xml:space="preserve">Organic certification and an Italian founding story, activated through a vineyard running event and winery hospitality rather than media</t>
  </si>
  <si>
    <t xml:space="preserve">La Petrovaselo în vie; organic certification; Bendis sparkling range; Dal Tio family story; winery events</t>
  </si>
  <si>
    <t xml:space="preserve">Ownership and positioning are well evidenced; no dated campaign spend or awards detail was located. No commercial staff are named.</t>
  </si>
  <si>
    <t xml:space="preserve">Category ownership in sparkling wine, proved by repeat medals at one specialist world championship and sold through a three-brand ladder</t>
  </si>
  <si>
    <t xml:space="preserve">Champagne &amp; Sparkling Wine World Championships 2017–2024; first dedicated sparkling project; Carassia / Friza / Vinca ladder; traditional-method claim</t>
  </si>
  <si>
    <t xml:space="preserve">Awards evidence is strong. Leadership is the weakest entry in this set: no CEO or general manager is publicly named, only the ownership group and the oenologist. No commercial staff are named.</t>
  </si>
  <si>
    <t xml:space="preserve">No open role found and no Romanian job-board employer profile located, consistent with production being based in Moldova.</t>
  </si>
  <si>
    <t xml:space="preserve">A distribution-led growth story in Romanian retail, wrapped in a three-generation family narrative and reinforced by public industry advocacy</t>
  </si>
  <si>
    <t xml:space="preserve">Romania-first strategy; +28% retail-driven growth in 2025; online store, HoReCa and sparkling launches for 2026; promovare comună advocacy</t>
  </si>
  <si>
    <t xml:space="preserve">Moldova-based producer, included because Romania is its main market — not a Romanian winery. Commercial results are unusually well documented; no marketing or sales staff are named.</t>
  </si>
  <si>
    <t xml:space="preserve">No open role found. Recruitment presence is a BestJobs employer profile with 8 alumni; recruitment may move to the Purcari group route after the May 2026 acquisition.</t>
  </si>
  <si>
    <t xml:space="preserve">Primacy and mission: Romania's first post-1989 private winery, built on restoring Fetească Neagră and a quantified critical record, now inside the Purcari group</t>
  </si>
  <si>
    <t xml:space="preserve">Fetească Neagră restoration mission; 30-year anniversary (2024); 250+ medals and first 90-plus Parker FN; Povești cu vinuri românești 2025; Purcari acquisition (May 2026)</t>
  </si>
  <si>
    <t xml:space="preserve">Part of Purcari Wineries since 18 May 2026 — kept as its own row because its brands, team and campaigns ran independently until then. No marketing or sales staff are named in public sources.</t>
  </si>
</sst>
</file>

<file path=xl/styles.xml><?xml version="1.0" encoding="utf-8"?>
<styleSheet xmlns="http://schemas.openxmlformats.org/spreadsheetml/2006/main">
  <numFmts count="5">
    <numFmt numFmtId="164" formatCode="General"/>
    <numFmt numFmtId="165" formatCode="#,##0;[RED]\(#,##0\);\-"/>
    <numFmt numFmtId="166" formatCode="0.0%;[RED]\(0.0%\);\-"/>
    <numFmt numFmtId="167" formatCode="0"/>
    <numFmt numFmtId="168" formatCode="General"/>
  </numFmts>
  <fonts count="19">
    <font>
      <sz val="11"/>
      <name val="Calibri"/>
      <family val="0"/>
      <charset val="1"/>
    </font>
    <font>
      <sz val="10"/>
      <name val="Arial"/>
      <family val="0"/>
    </font>
    <font>
      <sz val="10"/>
      <name val="Arial"/>
      <family val="0"/>
    </font>
    <font>
      <sz val="10"/>
      <name val="Arial"/>
      <family val="0"/>
    </font>
    <font>
      <b val="true"/>
      <sz val="9"/>
      <color rgb="FFFFFFFF"/>
      <name val="Arial"/>
      <family val="2"/>
      <charset val="1"/>
    </font>
    <font>
      <b val="true"/>
      <sz val="9"/>
      <color rgb="FF000000"/>
      <name val="Arial"/>
      <family val="2"/>
      <charset val="1"/>
    </font>
    <font>
      <sz val="9"/>
      <color rgb="FF000000"/>
      <name val="Arial"/>
      <family val="2"/>
      <charset val="1"/>
    </font>
    <font>
      <sz val="9"/>
      <color rgb="FFC00000"/>
      <name val="Arial"/>
      <family val="2"/>
      <charset val="1"/>
    </font>
    <font>
      <sz val="8"/>
      <color rgb="FFC00000"/>
      <name val="Arial"/>
      <family val="2"/>
      <charset val="1"/>
    </font>
    <font>
      <b val="true"/>
      <sz val="9"/>
      <color rgb="FFFFFFFF"/>
      <name val="Arial"/>
      <family val="0"/>
      <charset val="1"/>
    </font>
    <font>
      <b val="true"/>
      <sz val="9"/>
      <color rgb="FF000000"/>
      <name val="Arial"/>
      <family val="0"/>
      <charset val="1"/>
    </font>
    <font>
      <sz val="9"/>
      <color rgb="FF000000"/>
      <name val="Arial"/>
      <family val="0"/>
      <charset val="1"/>
    </font>
    <font>
      <sz val="8"/>
      <color rgb="FFC00000"/>
      <name val="Arial"/>
      <family val="0"/>
      <charset val="1"/>
    </font>
    <font>
      <sz val="8"/>
      <color rgb="FF666666"/>
      <name val="Arial"/>
      <family val="0"/>
      <charset val="1"/>
    </font>
    <font>
      <b val="true"/>
      <sz val="9"/>
      <color rgb="FF008000"/>
      <name val="Arial"/>
      <family val="2"/>
      <charset val="1"/>
    </font>
    <font>
      <sz val="9"/>
      <color rgb="FF008000"/>
      <name val="Arial"/>
      <family val="2"/>
      <charset val="1"/>
    </font>
    <font>
      <b val="true"/>
      <sz val="10"/>
      <color rgb="FFFFFFFF"/>
      <name val="Arial"/>
      <family val="2"/>
      <charset val="1"/>
    </font>
    <font>
      <b val="true"/>
      <sz val="8"/>
      <color rgb="FF000000"/>
      <name val="Arial"/>
      <family val="2"/>
      <charset val="1"/>
    </font>
    <font>
      <i val="true"/>
      <sz val="8"/>
      <color rgb="FF666666"/>
      <name val="Arial"/>
      <family val="2"/>
      <charset val="1"/>
    </font>
  </fonts>
  <fills count="5">
    <fill>
      <patternFill patternType="none"/>
    </fill>
    <fill>
      <patternFill patternType="gray125"/>
    </fill>
    <fill>
      <patternFill patternType="solid">
        <fgColor rgb="FF17365D"/>
        <bgColor rgb="FF333333"/>
      </patternFill>
    </fill>
    <fill>
      <patternFill patternType="solid">
        <fgColor rgb="FFFFFFFF"/>
        <bgColor rgb="FFEDF2F7"/>
      </patternFill>
    </fill>
    <fill>
      <patternFill patternType="solid">
        <fgColor rgb="FFD9E2F3"/>
        <bgColor rgb="FFD9D9D9"/>
      </patternFill>
    </fill>
  </fills>
  <borders count="19">
    <border diagonalUp="false" diagonalDown="false">
      <left/>
      <right/>
      <top/>
      <bottom/>
      <diagonal/>
    </border>
    <border diagonalUp="false" diagonalDown="false">
      <left/>
      <right/>
      <top/>
      <bottom style="medium">
        <color rgb="FF17365D"/>
      </bottom>
      <diagonal/>
    </border>
    <border diagonalUp="false" diagonalDown="false">
      <left/>
      <right/>
      <top/>
      <bottom style="thin">
        <color rgb="FFD9D9D9"/>
      </bottom>
      <diagonal/>
    </border>
    <border diagonalUp="false" diagonalDown="false">
      <left/>
      <right/>
      <top style="thin">
        <color rgb="FFD9D9D9"/>
      </top>
      <bottom style="thin">
        <color rgb="FFD9D9D9"/>
      </bottom>
      <diagonal/>
    </border>
    <border diagonalUp="false" diagonalDown="false">
      <left/>
      <right/>
      <top style="thin">
        <color rgb="FFD9D9D9"/>
      </top>
      <bottom/>
      <diagonal/>
    </border>
    <border diagonalUp="false" diagonalDown="false">
      <left/>
      <right/>
      <top style="thin">
        <color rgb="FF17365D"/>
      </top>
      <bottom style="thin">
        <color rgb="FFD9D9D9"/>
      </bottom>
      <diagonal/>
    </border>
    <border diagonalUp="false" diagonalDown="false">
      <left/>
      <right/>
      <top style="thin">
        <color rgb="FF17365D"/>
      </top>
      <bottom/>
      <diagonal/>
    </border>
    <border diagonalUp="false" diagonalDown="false">
      <left/>
      <right/>
      <top/>
      <bottom style="thin">
        <color rgb="FFBFBFBF"/>
      </bottom>
      <diagonal/>
    </border>
    <border diagonalUp="false" diagonalDown="false">
      <left/>
      <right/>
      <top style="medium"/>
      <bottom style="double"/>
      <diagonal/>
    </border>
    <border diagonalUp="false" diagonalDown="false">
      <left/>
      <right/>
      <top/>
      <bottom style="thin">
        <color rgb="FFFFFFFF"/>
      </bottom>
      <diagonal/>
    </border>
    <border diagonalUp="false" diagonalDown="false">
      <left/>
      <right/>
      <top/>
      <bottom style="hair">
        <color rgb="FFD9D9D9"/>
      </bottom>
      <diagonal/>
    </border>
    <border diagonalUp="false" diagonalDown="false">
      <left/>
      <right/>
      <top style="thin">
        <color rgb="FF17365D"/>
      </top>
      <bottom style="hair">
        <color rgb="FFD9D9D9"/>
      </bottom>
      <diagonal/>
    </border>
    <border diagonalUp="false" diagonalDown="false">
      <left/>
      <right/>
      <top/>
      <bottom style="thin">
        <color rgb="FF17365D"/>
      </bottom>
      <diagonal/>
    </border>
    <border diagonalUp="false" diagonalDown="false">
      <left style="thin">
        <color rgb="FF17365D"/>
      </left>
      <right/>
      <top/>
      <bottom style="thin">
        <color rgb="FF17365D"/>
      </bottom>
      <diagonal/>
    </border>
    <border diagonalUp="false" diagonalDown="false">
      <left style="thin">
        <color rgb="FF17365D"/>
      </left>
      <right/>
      <top/>
      <bottom/>
      <diagonal/>
    </border>
    <border diagonalUp="false" diagonalDown="false">
      <left/>
      <right/>
      <top/>
      <bottom style="hair">
        <color rgb="FFB4C6E7"/>
      </bottom>
      <diagonal/>
    </border>
    <border diagonalUp="false" diagonalDown="false">
      <left style="thin">
        <color rgb="FF17365D"/>
      </left>
      <right/>
      <top/>
      <bottom style="hair">
        <color rgb="FFB4C6E7"/>
      </bottom>
      <diagonal/>
    </border>
    <border diagonalUp="false" diagonalDown="false">
      <left/>
      <right/>
      <top style="medium">
        <color rgb="FF17365D"/>
      </top>
      <bottom style="double">
        <color rgb="FF17365D"/>
      </bottom>
      <diagonal/>
    </border>
    <border diagonalUp="false" diagonalDown="false">
      <left style="thin">
        <color rgb="FF17365D"/>
      </left>
      <right/>
      <top style="medium">
        <color rgb="FF17365D"/>
      </top>
      <bottom style="double">
        <color rgb="FF17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4"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5" fontId="6" fillId="3" borderId="2" xfId="0" applyFont="true" applyBorder="true" applyAlignment="true" applyProtection="false">
      <alignment horizontal="right" vertical="top" textRotation="0" wrapText="true" indent="0" shrinkToFit="false"/>
      <protection locked="true" hidden="false"/>
    </xf>
    <xf numFmtId="166" fontId="6" fillId="3" borderId="2" xfId="0" applyFont="true" applyBorder="true" applyAlignment="true" applyProtection="false">
      <alignment horizontal="general" vertical="top" textRotation="0" wrapText="true" indent="0" shrinkToFit="false"/>
      <protection locked="true" hidden="false"/>
    </xf>
    <xf numFmtId="164" fontId="5" fillId="3" borderId="3" xfId="0" applyFont="true" applyBorder="true" applyAlignment="true" applyProtection="false">
      <alignment horizontal="general" vertical="top" textRotation="0" wrapText="false" indent="0" shrinkToFit="false"/>
      <protection locked="true" hidden="false"/>
    </xf>
    <xf numFmtId="164" fontId="6" fillId="3" borderId="3" xfId="0" applyFont="true" applyBorder="true" applyAlignment="true" applyProtection="false">
      <alignment horizontal="general" vertical="top" textRotation="0" wrapText="true" indent="0" shrinkToFit="false"/>
      <protection locked="true" hidden="false"/>
    </xf>
    <xf numFmtId="165" fontId="6" fillId="3" borderId="3" xfId="0" applyFont="true" applyBorder="true" applyAlignment="true" applyProtection="false">
      <alignment horizontal="right" vertical="top" textRotation="0" wrapText="true" indent="0" shrinkToFit="false"/>
      <protection locked="true" hidden="false"/>
    </xf>
    <xf numFmtId="166" fontId="6" fillId="3" borderId="3" xfId="0" applyFont="true" applyBorder="true" applyAlignment="true" applyProtection="false">
      <alignment horizontal="general" vertical="top" textRotation="0" wrapText="true" indent="0" shrinkToFit="false"/>
      <protection locked="true" hidden="false"/>
    </xf>
    <xf numFmtId="164" fontId="5" fillId="3" borderId="4" xfId="0" applyFont="true" applyBorder="true" applyAlignment="true" applyProtection="false">
      <alignment horizontal="general" vertical="top" textRotation="0" wrapText="false" indent="0" shrinkToFit="false"/>
      <protection locked="true" hidden="false"/>
    </xf>
    <xf numFmtId="165" fontId="6" fillId="3" borderId="4" xfId="0" applyFont="true" applyBorder="true" applyAlignment="true" applyProtection="false">
      <alignment horizontal="right" vertical="top" textRotation="0" wrapText="true" indent="0" shrinkToFit="false"/>
      <protection locked="true" hidden="false"/>
    </xf>
    <xf numFmtId="166" fontId="6" fillId="3" borderId="4" xfId="0" applyFont="true" applyBorder="true" applyAlignment="true" applyProtection="false">
      <alignment horizontal="general" vertical="top" textRotation="0" wrapText="true" indent="0" shrinkToFit="false"/>
      <protection locked="true" hidden="false"/>
    </xf>
    <xf numFmtId="164" fontId="6" fillId="3" borderId="4" xfId="0" applyFont="true" applyBorder="true" applyAlignment="true" applyProtection="false">
      <alignment horizontal="general" vertical="top" textRotation="0" wrapText="true" indent="0" shrinkToFit="false"/>
      <protection locked="true" hidden="false"/>
    </xf>
    <xf numFmtId="164" fontId="5" fillId="3" borderId="5" xfId="0" applyFont="true" applyBorder="true" applyAlignment="true" applyProtection="false">
      <alignment horizontal="general" vertical="top" textRotation="0" wrapText="false" indent="0" shrinkToFit="false"/>
      <protection locked="true" hidden="false"/>
    </xf>
    <xf numFmtId="164" fontId="6" fillId="3" borderId="5" xfId="0" applyFont="true" applyBorder="true" applyAlignment="true" applyProtection="false">
      <alignment horizontal="general" vertical="top" textRotation="0" wrapText="false" indent="0" shrinkToFit="false"/>
      <protection locked="true" hidden="false"/>
    </xf>
    <xf numFmtId="164" fontId="7" fillId="3" borderId="5" xfId="0" applyFont="true" applyBorder="true" applyAlignment="true" applyProtection="false">
      <alignment horizontal="general" vertical="top" textRotation="0" wrapText="false" indent="0" shrinkToFit="false"/>
      <protection locked="true" hidden="false"/>
    </xf>
    <xf numFmtId="164" fontId="5" fillId="3" borderId="6" xfId="0" applyFont="true" applyBorder="true" applyAlignment="true" applyProtection="false">
      <alignment horizontal="general" vertical="top" textRotation="0" wrapText="false" indent="0" shrinkToFit="false"/>
      <protection locked="true" hidden="false"/>
    </xf>
    <xf numFmtId="164" fontId="6" fillId="3" borderId="6" xfId="0" applyFont="true" applyBorder="true" applyAlignment="true" applyProtection="false">
      <alignment horizontal="general" vertical="top" textRotation="0" wrapText="false" indent="0" shrinkToFit="false"/>
      <protection locked="true" hidden="false"/>
    </xf>
    <xf numFmtId="164" fontId="7" fillId="3" borderId="6" xfId="0" applyFont="true" applyBorder="true" applyAlignment="true" applyProtection="false">
      <alignment horizontal="general" vertical="top"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5" xfId="0" applyFont="true" applyBorder="true" applyAlignment="true" applyProtection="false">
      <alignment horizontal="general" vertical="top" textRotation="0" wrapText="true" indent="0" shrinkToFit="false"/>
      <protection locked="true" hidden="false"/>
    </xf>
    <xf numFmtId="164" fontId="6" fillId="3" borderId="5" xfId="0" applyFont="true" applyBorder="true" applyAlignment="true" applyProtection="false">
      <alignment horizontal="general" vertical="top" textRotation="0" wrapText="true" indent="0" shrinkToFit="false"/>
      <protection locked="true" hidden="false"/>
    </xf>
    <xf numFmtId="164" fontId="8" fillId="3" borderId="5" xfId="0" applyFont="true" applyBorder="true" applyAlignment="true" applyProtection="false">
      <alignment horizontal="general" vertical="top" textRotation="0" wrapText="true" indent="0" shrinkToFit="false"/>
      <protection locked="true" hidden="false"/>
    </xf>
    <xf numFmtId="164" fontId="8" fillId="3" borderId="3" xfId="0" applyFont="true" applyBorder="true" applyAlignment="true" applyProtection="false">
      <alignment horizontal="general" vertical="top" textRotation="0" wrapText="true" indent="0" shrinkToFit="false"/>
      <protection locked="true" hidden="false"/>
    </xf>
    <xf numFmtId="164" fontId="8" fillId="3" borderId="4"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3" borderId="7" xfId="0" applyFont="true" applyBorder="true" applyAlignment="true" applyProtection="false">
      <alignment horizontal="general" vertical="top" textRotation="0" wrapText="false" indent="0" shrinkToFit="false"/>
      <protection locked="true" hidden="false"/>
    </xf>
    <xf numFmtId="167" fontId="11" fillId="3" borderId="7" xfId="0" applyFont="true" applyBorder="true" applyAlignment="true" applyProtection="false">
      <alignment horizontal="center" vertical="top" textRotation="0" wrapText="false" indent="0" shrinkToFit="false"/>
      <protection locked="true" hidden="false"/>
    </xf>
    <xf numFmtId="164" fontId="11" fillId="3" borderId="7" xfId="0" applyFont="true" applyBorder="true" applyAlignment="true" applyProtection="false">
      <alignment horizontal="center" vertical="top" textRotation="0" wrapText="false" indent="0" shrinkToFit="false"/>
      <protection locked="true" hidden="false"/>
    </xf>
    <xf numFmtId="164" fontId="11" fillId="3" borderId="7" xfId="0" applyFont="true" applyBorder="true" applyAlignment="true" applyProtection="false">
      <alignment horizontal="general" vertical="top" textRotation="0" wrapText="false" indent="0" shrinkToFit="false"/>
      <protection locked="true" hidden="false"/>
    </xf>
    <xf numFmtId="164" fontId="11" fillId="3" borderId="7" xfId="0" applyFont="true" applyBorder="true" applyAlignment="true" applyProtection="false">
      <alignment horizontal="general" vertical="top" textRotation="0" wrapText="true" indent="0" shrinkToFit="false"/>
      <protection locked="true" hidden="false"/>
    </xf>
    <xf numFmtId="164" fontId="12" fillId="3" borderId="7" xfId="0" applyFont="true" applyBorder="true" applyAlignment="true" applyProtection="false">
      <alignment horizontal="general" vertical="top" textRotation="0" wrapText="true" indent="0" shrinkToFit="false"/>
      <protection locked="true" hidden="false"/>
    </xf>
    <xf numFmtId="164" fontId="10" fillId="3" borderId="7" xfId="0" applyFont="true" applyBorder="true" applyAlignment="true" applyProtection="false">
      <alignment horizontal="general" vertical="bottom" textRotation="0" wrapText="false" indent="0" shrinkToFit="false"/>
      <protection locked="true" hidden="false"/>
    </xf>
    <xf numFmtId="165" fontId="11" fillId="3" borderId="7" xfId="0" applyFont="true" applyBorder="true" applyAlignment="true" applyProtection="false">
      <alignment horizontal="right" vertical="bottom" textRotation="0" wrapText="false" indent="0" shrinkToFit="false"/>
      <protection locked="true" hidden="false"/>
    </xf>
    <xf numFmtId="164" fontId="10" fillId="0" borderId="8" xfId="0" applyFont="true" applyBorder="true" applyAlignment="true" applyProtection="false">
      <alignment horizontal="general" vertical="bottom" textRotation="0" wrapText="false" indent="0" shrinkToFit="false"/>
      <protection locked="true" hidden="false"/>
    </xf>
    <xf numFmtId="165" fontId="10" fillId="0" borderId="8" xfId="0" applyFont="true" applyBorder="true" applyAlignment="true" applyProtection="false">
      <alignment horizontal="right"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4" fontId="5" fillId="3"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5" fillId="3" borderId="4" xfId="0" applyFont="true" applyBorder="true" applyAlignment="true" applyProtection="false">
      <alignment horizontal="general" vertical="top" textRotation="0" wrapText="true" indent="0" shrinkToFit="false"/>
      <protection locked="true" hidden="false"/>
    </xf>
    <xf numFmtId="164" fontId="7" fillId="3" borderId="4"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6" xfId="0" applyFont="true" applyBorder="true" applyAlignment="true" applyProtection="false">
      <alignment horizontal="general" vertical="center" textRotation="0" wrapText="false" indent="0" shrinkToFit="false"/>
      <protection locked="true" hidden="false"/>
    </xf>
    <xf numFmtId="164" fontId="6" fillId="3" borderId="6" xfId="0" applyFont="true" applyBorder="true" applyAlignment="true" applyProtection="false">
      <alignment horizontal="general" vertical="center" textRotation="0" wrapText="false" indent="0" shrinkToFit="false"/>
      <protection locked="true" hidden="false"/>
    </xf>
    <xf numFmtId="164" fontId="8" fillId="3" borderId="6" xfId="0" applyFont="true" applyBorder="true" applyAlignment="true" applyProtection="false">
      <alignment horizontal="general"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8" fontId="14" fillId="4"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5" fillId="4" borderId="9" xfId="0" applyFont="true" applyBorder="true" applyAlignment="true" applyProtection="false">
      <alignment horizontal="general" vertical="bottom" textRotation="0" wrapText="false" indent="0" shrinkToFit="false"/>
      <protection locked="true" hidden="false"/>
    </xf>
    <xf numFmtId="168" fontId="14" fillId="4" borderId="9"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2" borderId="1" xfId="0" applyFont="true" applyBorder="true" applyAlignment="true" applyProtection="false">
      <alignment horizontal="right" vertical="center"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8" fontId="15" fillId="3" borderId="0" xfId="0" applyFont="true" applyBorder="false" applyAlignment="true" applyProtection="false">
      <alignment horizontal="right" vertical="bottom" textRotation="0" wrapText="false" indent="0" shrinkToFit="false"/>
      <protection locked="true" hidden="false"/>
    </xf>
    <xf numFmtId="164" fontId="6" fillId="3" borderId="10" xfId="0" applyFont="true" applyBorder="true" applyAlignment="true" applyProtection="false">
      <alignment horizontal="general" vertical="bottom" textRotation="0" wrapText="false" indent="0" shrinkToFit="false"/>
      <protection locked="true" hidden="false"/>
    </xf>
    <xf numFmtId="168" fontId="15" fillId="3" borderId="10" xfId="0" applyFont="true" applyBorder="true" applyAlignment="true" applyProtection="false">
      <alignment horizontal="right" vertical="bottom" textRotation="0" wrapText="false" indent="0" shrinkToFit="false"/>
      <protection locked="true" hidden="false"/>
    </xf>
    <xf numFmtId="164" fontId="5" fillId="3" borderId="11" xfId="0" applyFont="true" applyBorder="true" applyAlignment="true" applyProtection="false">
      <alignment horizontal="general" vertical="center" textRotation="0" wrapText="false" indent="0" shrinkToFit="false"/>
      <protection locked="true" hidden="false"/>
    </xf>
    <xf numFmtId="164" fontId="6" fillId="3" borderId="11" xfId="0" applyFont="true" applyBorder="true" applyAlignment="true" applyProtection="false">
      <alignment horizontal="general" vertical="center" textRotation="0" wrapText="false" indent="0" shrinkToFit="false"/>
      <protection locked="true" hidden="false"/>
    </xf>
    <xf numFmtId="164" fontId="8" fillId="3" borderId="11" xfId="0" applyFont="true" applyBorder="true" applyAlignment="true" applyProtection="false">
      <alignment horizontal="general"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false" indent="0" shrinkToFit="false"/>
      <protection locked="true" hidden="false"/>
    </xf>
    <xf numFmtId="164" fontId="17" fillId="4" borderId="12" xfId="0" applyFont="true" applyBorder="true" applyAlignment="true" applyProtection="false">
      <alignment horizontal="center" vertical="center" textRotation="0" wrapText="true" indent="0" shrinkToFit="false"/>
      <protection locked="true" hidden="false"/>
    </xf>
    <xf numFmtId="164" fontId="5" fillId="4" borderId="13" xfId="0" applyFont="true" applyBorder="true" applyAlignment="true" applyProtection="false">
      <alignment horizontal="right" vertical="center" textRotation="0" wrapText="true" indent="0" shrinkToFit="false"/>
      <protection locked="true" hidden="false"/>
    </xf>
    <xf numFmtId="165" fontId="15" fillId="3" borderId="0" xfId="0" applyFont="true" applyBorder="false" applyAlignment="true" applyProtection="false">
      <alignment horizontal="right" vertical="center" textRotation="0" wrapText="false" indent="0" shrinkToFit="false"/>
      <protection locked="true" hidden="false"/>
    </xf>
    <xf numFmtId="165" fontId="5" fillId="4" borderId="14" xfId="0" applyFont="true" applyBorder="true" applyAlignment="true" applyProtection="false">
      <alignment horizontal="right" vertical="center" textRotation="0" wrapText="false" indent="0" shrinkToFit="false"/>
      <protection locked="true" hidden="false"/>
    </xf>
    <xf numFmtId="164" fontId="5" fillId="3" borderId="15" xfId="0" applyFont="true" applyBorder="true" applyAlignment="true" applyProtection="false">
      <alignment horizontal="general" vertical="center" textRotation="0" wrapText="false" indent="0" shrinkToFit="false"/>
      <protection locked="true" hidden="false"/>
    </xf>
    <xf numFmtId="165" fontId="15" fillId="3" borderId="15" xfId="0" applyFont="true" applyBorder="true" applyAlignment="true" applyProtection="false">
      <alignment horizontal="right" vertical="center" textRotation="0" wrapText="false" indent="0" shrinkToFit="false"/>
      <protection locked="true" hidden="false"/>
    </xf>
    <xf numFmtId="165" fontId="5" fillId="4" borderId="16" xfId="0" applyFont="true" applyBorder="true" applyAlignment="true" applyProtection="false">
      <alignment horizontal="right" vertical="center" textRotation="0" wrapText="false" indent="0" shrinkToFit="false"/>
      <protection locked="true" hidden="false"/>
    </xf>
    <xf numFmtId="164" fontId="5" fillId="3" borderId="17" xfId="0" applyFont="true" applyBorder="true" applyAlignment="true" applyProtection="false">
      <alignment horizontal="left" vertical="center" textRotation="0" wrapText="false" indent="0" shrinkToFit="false"/>
      <protection locked="true" hidden="false"/>
    </xf>
    <xf numFmtId="165" fontId="5" fillId="3" borderId="17" xfId="0" applyFont="true" applyBorder="true" applyAlignment="true" applyProtection="false">
      <alignment horizontal="right" vertical="center" textRotation="0" wrapText="false" indent="0" shrinkToFit="false"/>
      <protection locked="true" hidden="false"/>
    </xf>
    <xf numFmtId="165" fontId="5" fillId="3" borderId="18" xfId="0" applyFont="true" applyBorder="true" applyAlignment="true" applyProtection="false">
      <alignment horizontal="right" vertical="center" textRotation="0" wrapText="false" indent="0" shrinkToFit="false"/>
      <protection locked="true" hidden="false"/>
    </xf>
    <xf numFmtId="164" fontId="18" fillId="3" borderId="0" xfId="0" applyFont="true" applyBorder="true" applyAlignment="true" applyProtection="false">
      <alignment horizontal="left" vertical="center" textRotation="0" wrapText="true" indent="0" shrinkToFit="false"/>
      <protection locked="true" hidden="false"/>
    </xf>
    <xf numFmtId="165" fontId="15" fillId="3" borderId="2" xfId="0" applyFont="true" applyBorder="true" applyAlignment="true" applyProtection="false">
      <alignment horizontal="right" vertical="top" textRotation="0" wrapText="true" indent="0" shrinkToFit="false"/>
      <protection locked="true" hidden="false"/>
    </xf>
    <xf numFmtId="165" fontId="15" fillId="3" borderId="3" xfId="0" applyFont="true" applyBorder="true" applyAlignment="true" applyProtection="false">
      <alignment horizontal="right" vertical="top" textRotation="0" wrapText="true" indent="0" shrinkToFit="false"/>
      <protection locked="true" hidden="false"/>
    </xf>
    <xf numFmtId="165" fontId="15" fillId="3" borderId="4"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7365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F2F7"/>
      <rgbColor rgb="FFD9E2F3"/>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ChatGPT">
  <a:themeElements>
    <a:clrScheme name="A&amp;M - Mod">
      <a:dk1>
        <a:srgbClr val="1d1d1d"/>
      </a:dk1>
      <a:lt1>
        <a:srgbClr val="ffffff"/>
      </a:lt1>
      <a:dk2>
        <a:srgbClr val="edf2f7"/>
      </a:dk2>
      <a:lt2>
        <a:srgbClr val="959ea6"/>
      </a:lt2>
      <a:accent1>
        <a:srgbClr val="364d6e"/>
      </a:accent1>
      <a:accent2>
        <a:srgbClr val="5e8ab4"/>
      </a:accent2>
      <a:accent3>
        <a:srgbClr val="0085ca"/>
      </a:accent3>
      <a:accent4>
        <a:srgbClr val="470858"/>
      </a:accent4>
      <a:accent5>
        <a:srgbClr val="007770"/>
      </a:accent5>
      <a:accent6>
        <a:srgbClr val="fff2cc"/>
      </a:accent6>
      <a:hlink>
        <a:srgbClr val="6b7680"/>
      </a:hlink>
      <a:folHlink>
        <a:srgbClr val="959ea6"/>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F2F7"/>
    <pageSetUpPr fitToPage="false"/>
  </sheetPr>
  <dimension ref="A1:I7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3.5"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2"/>
    <col collapsed="false" customWidth="true" hidden="false" outlineLevel="0" max="5" min="5" style="1" width="19"/>
    <col collapsed="false" customWidth="true" hidden="false" outlineLevel="0" max="9" min="9" style="1" width="50.66"/>
  </cols>
  <sheetData>
    <row r="1" customFormat="false" ht="30" hidden="false" customHeight="true" outlineLevel="0" collapsed="false">
      <c r="A1" s="2" t="s">
        <v>0</v>
      </c>
      <c r="B1" s="2" t="s">
        <v>1</v>
      </c>
      <c r="C1" s="3" t="s">
        <v>2</v>
      </c>
      <c r="E1" s="2" t="s">
        <v>0</v>
      </c>
      <c r="F1" s="3" t="s">
        <v>3</v>
      </c>
      <c r="G1" s="3" t="s">
        <v>4</v>
      </c>
      <c r="H1" s="3" t="s">
        <v>5</v>
      </c>
      <c r="I1" s="2" t="s">
        <v>6</v>
      </c>
    </row>
    <row r="2" customFormat="false" ht="13.5" hidden="false" customHeight="true" outlineLevel="0" collapsed="false">
      <c r="A2" s="4" t="s">
        <v>7</v>
      </c>
      <c r="B2" s="5" t="s">
        <v>8</v>
      </c>
      <c r="C2" s="6" t="n">
        <v>24</v>
      </c>
      <c r="E2" s="4" t="s">
        <v>7</v>
      </c>
      <c r="F2" s="6" t="n">
        <v>103</v>
      </c>
      <c r="G2" s="6" t="n">
        <f aca="false">SUMIF('Winery Departments'!$A:$A,E2,'Winery Departments'!$C:$C)</f>
        <v>72</v>
      </c>
      <c r="H2" s="7" t="n">
        <f aca="false">G2/F2</f>
        <v>0.699029126213592</v>
      </c>
      <c r="I2" s="5" t="str">
        <f aca="false">IF(G2&gt;F2,"Department categories overlap","Displayed categories do not exceed total")</f>
        <v>Displayed categories do not exceed total</v>
      </c>
    </row>
    <row r="3" customFormat="false" ht="13.5" hidden="false" customHeight="true" outlineLevel="0" collapsed="false">
      <c r="A3" s="8" t="s">
        <v>7</v>
      </c>
      <c r="B3" s="9" t="s">
        <v>9</v>
      </c>
      <c r="C3" s="10" t="n">
        <v>20</v>
      </c>
      <c r="E3" s="8" t="s">
        <v>10</v>
      </c>
      <c r="F3" s="10" t="n">
        <v>71</v>
      </c>
      <c r="G3" s="10" t="n">
        <f aca="false">SUMIF('Winery Departments'!$A:$A,E3,'Winery Departments'!$C:$C)</f>
        <v>62</v>
      </c>
      <c r="H3" s="11" t="n">
        <v>0.873239436619718</v>
      </c>
      <c r="I3" s="9" t="s">
        <v>11</v>
      </c>
    </row>
    <row r="4" customFormat="false" ht="13.5" hidden="false" customHeight="true" outlineLevel="0" collapsed="false">
      <c r="A4" s="8" t="s">
        <v>7</v>
      </c>
      <c r="B4" s="9" t="s">
        <v>12</v>
      </c>
      <c r="C4" s="10" t="n">
        <v>14</v>
      </c>
      <c r="E4" s="8" t="s">
        <v>13</v>
      </c>
      <c r="F4" s="10" t="n">
        <v>116</v>
      </c>
      <c r="G4" s="10" t="n">
        <f aca="false">SUMIF('Winery Departments'!$A:$A,E4,'Winery Departments'!$C:$C)</f>
        <v>73</v>
      </c>
      <c r="H4" s="11" t="n">
        <v>0.629310344827586</v>
      </c>
      <c r="I4" s="9" t="s">
        <v>11</v>
      </c>
    </row>
    <row r="5" customFormat="false" ht="13.5" hidden="false" customHeight="true" outlineLevel="0" collapsed="false">
      <c r="A5" s="8" t="s">
        <v>7</v>
      </c>
      <c r="B5" s="9" t="s">
        <v>14</v>
      </c>
      <c r="C5" s="10" t="n">
        <v>7</v>
      </c>
      <c r="E5" s="8" t="s">
        <v>15</v>
      </c>
      <c r="F5" s="10" t="n">
        <v>23</v>
      </c>
      <c r="G5" s="10" t="n">
        <f aca="false">SUMIF('Winery Departments'!$A:$A,E5,'Winery Departments'!$C:$C)</f>
        <v>21</v>
      </c>
      <c r="H5" s="11" t="n">
        <v>0.91304347826087</v>
      </c>
      <c r="I5" s="9" t="s">
        <v>11</v>
      </c>
    </row>
    <row r="6" customFormat="false" ht="13.5" hidden="false" customHeight="true" outlineLevel="0" collapsed="false">
      <c r="A6" s="8" t="s">
        <v>7</v>
      </c>
      <c r="B6" s="9" t="s">
        <v>16</v>
      </c>
      <c r="C6" s="10" t="n">
        <v>7</v>
      </c>
      <c r="E6" s="8" t="s">
        <v>17</v>
      </c>
      <c r="F6" s="10" t="n">
        <v>115</v>
      </c>
      <c r="G6" s="10" t="n">
        <f aca="false">SUMIF('Winery Departments'!$A:$A,E6,'Winery Departments'!$C:$C)</f>
        <v>76</v>
      </c>
      <c r="H6" s="11" t="n">
        <v>0.660869565217391</v>
      </c>
      <c r="I6" s="9" t="s">
        <v>11</v>
      </c>
    </row>
    <row r="7" customFormat="false" ht="13.5" hidden="false" customHeight="true" outlineLevel="0" collapsed="false">
      <c r="A7" s="8" t="s">
        <v>10</v>
      </c>
      <c r="B7" s="9" t="s">
        <v>12</v>
      </c>
      <c r="C7" s="10" t="n">
        <v>34</v>
      </c>
      <c r="E7" s="8" t="s">
        <v>18</v>
      </c>
      <c r="F7" s="10" t="n">
        <v>9</v>
      </c>
      <c r="G7" s="10" t="n">
        <f aca="false">SUMIF('Winery Departments'!$A:$A,E7,'Winery Departments'!$C:$C)</f>
        <v>8</v>
      </c>
      <c r="H7" s="11" t="n">
        <v>0.888888888888889</v>
      </c>
      <c r="I7" s="9" t="s">
        <v>11</v>
      </c>
    </row>
    <row r="8" customFormat="false" ht="13.5" hidden="false" customHeight="true" outlineLevel="0" collapsed="false">
      <c r="A8" s="8" t="s">
        <v>10</v>
      </c>
      <c r="B8" s="9" t="s">
        <v>8</v>
      </c>
      <c r="C8" s="10" t="n">
        <v>16</v>
      </c>
      <c r="E8" s="8" t="s">
        <v>19</v>
      </c>
      <c r="F8" s="10" t="n">
        <v>10</v>
      </c>
      <c r="G8" s="10" t="n">
        <f aca="false">SUMIF('Winery Departments'!$A:$A,E8,'Winery Departments'!$C:$C)</f>
        <v>11</v>
      </c>
      <c r="H8" s="11" t="n">
        <v>1.1</v>
      </c>
      <c r="I8" s="9" t="s">
        <v>20</v>
      </c>
    </row>
    <row r="9" customFormat="false" ht="13.5" hidden="false" customHeight="true" outlineLevel="0" collapsed="false">
      <c r="A9" s="8" t="s">
        <v>10</v>
      </c>
      <c r="B9" s="9" t="s">
        <v>21</v>
      </c>
      <c r="C9" s="10" t="n">
        <v>5</v>
      </c>
      <c r="E9" s="8" t="s">
        <v>22</v>
      </c>
      <c r="F9" s="10" t="n">
        <v>39</v>
      </c>
      <c r="G9" s="10" t="n">
        <f aca="false">SUMIF('Winery Departments'!$A:$A,E9,'Winery Departments'!$C:$C)</f>
        <v>32</v>
      </c>
      <c r="H9" s="11" t="n">
        <v>0.820512820512821</v>
      </c>
      <c r="I9" s="9" t="s">
        <v>11</v>
      </c>
    </row>
    <row r="10" customFormat="false" ht="13.5" hidden="false" customHeight="true" outlineLevel="0" collapsed="false">
      <c r="A10" s="8" t="s">
        <v>10</v>
      </c>
      <c r="B10" s="9" t="s">
        <v>23</v>
      </c>
      <c r="C10" s="10" t="n">
        <v>4</v>
      </c>
      <c r="E10" s="8" t="s">
        <v>24</v>
      </c>
      <c r="F10" s="10" t="n">
        <v>10</v>
      </c>
      <c r="G10" s="10" t="n">
        <f aca="false">SUMIF('Winery Departments'!$A:$A,E10,'Winery Departments'!$C:$C)</f>
        <v>10</v>
      </c>
      <c r="H10" s="11" t="n">
        <v>1</v>
      </c>
      <c r="I10" s="9" t="s">
        <v>11</v>
      </c>
    </row>
    <row r="11" customFormat="false" ht="13.5" hidden="false" customHeight="true" outlineLevel="0" collapsed="false">
      <c r="A11" s="8" t="s">
        <v>10</v>
      </c>
      <c r="B11" s="9" t="s">
        <v>9</v>
      </c>
      <c r="C11" s="10" t="n">
        <v>3</v>
      </c>
      <c r="E11" s="8" t="s">
        <v>25</v>
      </c>
      <c r="F11" s="10" t="n">
        <v>14</v>
      </c>
      <c r="G11" s="10" t="n">
        <f aca="false">SUMIF('Winery Departments'!$A:$A,E11,'Winery Departments'!$C:$C)</f>
        <v>11</v>
      </c>
      <c r="H11" s="11" t="n">
        <v>0.785714285714286</v>
      </c>
      <c r="I11" s="9" t="s">
        <v>11</v>
      </c>
    </row>
    <row r="12" customFormat="false" ht="13.5" hidden="false" customHeight="true" outlineLevel="0" collapsed="false">
      <c r="A12" s="8" t="s">
        <v>13</v>
      </c>
      <c r="B12" s="9" t="s">
        <v>12</v>
      </c>
      <c r="C12" s="10" t="n">
        <v>25</v>
      </c>
      <c r="E12" s="8" t="s">
        <v>26</v>
      </c>
      <c r="F12" s="10" t="n">
        <v>9</v>
      </c>
      <c r="G12" s="10" t="n">
        <f aca="false">SUMIF('Winery Departments'!$A:$A,E12,'Winery Departments'!$C:$C)</f>
        <v>11</v>
      </c>
      <c r="H12" s="11" t="n">
        <v>1.22222222222222</v>
      </c>
      <c r="I12" s="9" t="s">
        <v>20</v>
      </c>
    </row>
    <row r="13" customFormat="false" ht="13.5" hidden="false" customHeight="true" outlineLevel="0" collapsed="false">
      <c r="A13" s="8" t="s">
        <v>13</v>
      </c>
      <c r="B13" s="9" t="s">
        <v>8</v>
      </c>
      <c r="C13" s="10" t="n">
        <v>17</v>
      </c>
      <c r="E13" s="8" t="s">
        <v>27</v>
      </c>
      <c r="F13" s="10" t="n">
        <v>10</v>
      </c>
      <c r="G13" s="10" t="n">
        <f aca="false">SUMIF('Winery Departments'!$A:$A,E13,'Winery Departments'!$C:$C)</f>
        <v>9</v>
      </c>
      <c r="H13" s="11" t="n">
        <v>0.9</v>
      </c>
      <c r="I13" s="9" t="s">
        <v>11</v>
      </c>
    </row>
    <row r="14" customFormat="false" ht="13.5" hidden="false" customHeight="true" outlineLevel="0" collapsed="false">
      <c r="A14" s="8" t="s">
        <v>13</v>
      </c>
      <c r="B14" s="9" t="s">
        <v>23</v>
      </c>
      <c r="C14" s="10" t="n">
        <v>14</v>
      </c>
      <c r="E14" s="8" t="s">
        <v>28</v>
      </c>
      <c r="F14" s="10" t="n">
        <v>17</v>
      </c>
      <c r="G14" s="10" t="n">
        <f aca="false">SUMIF('Winery Departments'!$A:$A,E14,'Winery Departments'!$C:$C)</f>
        <v>16</v>
      </c>
      <c r="H14" s="11" t="n">
        <v>0.941176470588235</v>
      </c>
      <c r="I14" s="9" t="s">
        <v>11</v>
      </c>
    </row>
    <row r="15" customFormat="false" ht="13.5" hidden="false" customHeight="true" outlineLevel="0" collapsed="false">
      <c r="A15" s="8" t="s">
        <v>13</v>
      </c>
      <c r="B15" s="9" t="s">
        <v>29</v>
      </c>
      <c r="C15" s="10" t="n">
        <v>9</v>
      </c>
      <c r="E15" s="8" t="s">
        <v>30</v>
      </c>
      <c r="F15" s="10" t="n">
        <v>39</v>
      </c>
      <c r="G15" s="10" t="n">
        <f aca="false">SUMIF('Winery Departments'!$A:$A,E15,'Winery Departments'!$C:$C)</f>
        <v>34</v>
      </c>
      <c r="H15" s="11" t="n">
        <v>0.871794871794872</v>
      </c>
      <c r="I15" s="9" t="s">
        <v>11</v>
      </c>
    </row>
    <row r="16" customFormat="false" ht="13.5" hidden="false" customHeight="true" outlineLevel="0" collapsed="false">
      <c r="A16" s="8" t="s">
        <v>13</v>
      </c>
      <c r="B16" s="9" t="s">
        <v>31</v>
      </c>
      <c r="C16" s="10" t="n">
        <v>8</v>
      </c>
      <c r="E16" s="8" t="s">
        <v>32</v>
      </c>
      <c r="F16" s="10" t="n">
        <v>45</v>
      </c>
      <c r="G16" s="10" t="n">
        <f aca="false">SUMIF('Winery Departments'!$A:$A,E16,'Winery Departments'!$C:$C)</f>
        <v>34</v>
      </c>
      <c r="H16" s="11" t="n">
        <v>0.755555555555556</v>
      </c>
      <c r="I16" s="9" t="s">
        <v>33</v>
      </c>
    </row>
    <row r="17" customFormat="false" ht="13.5" hidden="false" customHeight="true" outlineLevel="0" collapsed="false">
      <c r="A17" s="8" t="s">
        <v>15</v>
      </c>
      <c r="B17" s="9" t="s">
        <v>12</v>
      </c>
      <c r="C17" s="10" t="n">
        <v>15</v>
      </c>
      <c r="E17" s="8" t="s">
        <v>34</v>
      </c>
      <c r="F17" s="10"/>
      <c r="G17" s="10" t="n">
        <f aca="false">SUMIF('Winery Departments'!$A:$A,E17,'Winery Departments'!$C:$C)</f>
        <v>0</v>
      </c>
      <c r="H17" s="11" t="str">
        <f aca="false">IFERROR(G17/F17,"")</f>
        <v/>
      </c>
      <c r="I17" s="9" t="s">
        <v>35</v>
      </c>
    </row>
    <row r="18" customFormat="false" ht="13.5" hidden="false" customHeight="true" outlineLevel="0" collapsed="false">
      <c r="A18" s="8" t="s">
        <v>15</v>
      </c>
      <c r="B18" s="9" t="s">
        <v>9</v>
      </c>
      <c r="C18" s="10" t="n">
        <v>3</v>
      </c>
      <c r="E18" s="8" t="s">
        <v>36</v>
      </c>
      <c r="F18" s="10"/>
      <c r="G18" s="10" t="n">
        <f aca="false">SUMIF('Winery Departments'!$A:$A,E18,'Winery Departments'!$C:$C)</f>
        <v>0</v>
      </c>
      <c r="H18" s="11" t="str">
        <f aca="false">IFERROR(G18/F18,"")</f>
        <v/>
      </c>
      <c r="I18" s="9" t="s">
        <v>37</v>
      </c>
    </row>
    <row r="19" customFormat="false" ht="13.5" hidden="false" customHeight="true" outlineLevel="0" collapsed="false">
      <c r="A19" s="8" t="s">
        <v>15</v>
      </c>
      <c r="B19" s="9" t="s">
        <v>8</v>
      </c>
      <c r="C19" s="10" t="n">
        <v>1</v>
      </c>
      <c r="E19" s="8" t="s">
        <v>38</v>
      </c>
      <c r="F19" s="10"/>
      <c r="G19" s="10" t="n">
        <f aca="false">SUMIF('Winery Departments'!$A:$A,E19,'Winery Departments'!$C:$C)</f>
        <v>0</v>
      </c>
      <c r="H19" s="11" t="str">
        <f aca="false">IFERROR(G19/F19,"")</f>
        <v/>
      </c>
      <c r="I19" s="9" t="s">
        <v>39</v>
      </c>
    </row>
    <row r="20" customFormat="false" ht="13.5" hidden="false" customHeight="true" outlineLevel="0" collapsed="false">
      <c r="A20" s="8" t="s">
        <v>15</v>
      </c>
      <c r="B20" s="9" t="s">
        <v>40</v>
      </c>
      <c r="C20" s="10" t="n">
        <v>1</v>
      </c>
      <c r="E20" s="8" t="s">
        <v>41</v>
      </c>
      <c r="F20" s="10"/>
      <c r="G20" s="10" t="n">
        <f aca="false">SUMIF('Winery Departments'!$A:$A,E20,'Winery Departments'!$C:$C)</f>
        <v>0</v>
      </c>
      <c r="H20" s="11" t="str">
        <f aca="false">IFERROR(G20/F20,"")</f>
        <v/>
      </c>
      <c r="I20" s="9" t="s">
        <v>42</v>
      </c>
    </row>
    <row r="21" customFormat="false" ht="13.5" hidden="false" customHeight="true" outlineLevel="0" collapsed="false">
      <c r="A21" s="8" t="s">
        <v>15</v>
      </c>
      <c r="B21" s="9" t="s">
        <v>43</v>
      </c>
      <c r="C21" s="10" t="n">
        <v>1</v>
      </c>
      <c r="E21" s="8" t="s">
        <v>44</v>
      </c>
      <c r="F21" s="10"/>
      <c r="G21" s="10" t="n">
        <f aca="false">SUMIF('Winery Departments'!$A:$A,E21,'Winery Departments'!$C:$C)</f>
        <v>0</v>
      </c>
      <c r="H21" s="11" t="str">
        <f aca="false">IFERROR(G21/F21,"")</f>
        <v/>
      </c>
      <c r="I21" s="9" t="s">
        <v>45</v>
      </c>
    </row>
    <row r="22" customFormat="false" ht="13.5" hidden="false" customHeight="true" outlineLevel="0" collapsed="false">
      <c r="A22" s="8" t="s">
        <v>17</v>
      </c>
      <c r="B22" s="9" t="s">
        <v>12</v>
      </c>
      <c r="C22" s="10" t="n">
        <v>34</v>
      </c>
      <c r="E22" s="8" t="s">
        <v>46</v>
      </c>
      <c r="F22" s="10"/>
      <c r="G22" s="10" t="n">
        <f aca="false">SUMIF('Winery Departments'!$A:$A,E22,'Winery Departments'!$C:$C)</f>
        <v>0</v>
      </c>
      <c r="H22" s="11" t="str">
        <f aca="false">IFERROR(G22/F22,"")</f>
        <v/>
      </c>
      <c r="I22" s="9" t="s">
        <v>47</v>
      </c>
    </row>
    <row r="23" customFormat="false" ht="13.5" hidden="false" customHeight="true" outlineLevel="0" collapsed="false">
      <c r="A23" s="8" t="s">
        <v>17</v>
      </c>
      <c r="B23" s="9" t="s">
        <v>8</v>
      </c>
      <c r="C23" s="10" t="n">
        <v>14</v>
      </c>
      <c r="E23" s="8" t="s">
        <v>48</v>
      </c>
      <c r="F23" s="10"/>
      <c r="G23" s="10" t="n">
        <f aca="false">SUMIF('Winery Departments'!$A:$A,E23,'Winery Departments'!$C:$C)</f>
        <v>0</v>
      </c>
      <c r="H23" s="11" t="str">
        <f aca="false">IFERROR(G23/F23,"")</f>
        <v/>
      </c>
      <c r="I23" s="9" t="s">
        <v>49</v>
      </c>
    </row>
    <row r="24" customFormat="false" ht="13.5" hidden="false" customHeight="true" outlineLevel="0" collapsed="false">
      <c r="A24" s="8" t="s">
        <v>17</v>
      </c>
      <c r="B24" s="9" t="s">
        <v>21</v>
      </c>
      <c r="C24" s="10" t="n">
        <v>12</v>
      </c>
      <c r="E24" s="8" t="s">
        <v>50</v>
      </c>
      <c r="F24" s="10"/>
      <c r="G24" s="10" t="n">
        <f aca="false">SUMIF('Winery Departments'!$A:$A,E24,'Winery Departments'!$C:$C)</f>
        <v>0</v>
      </c>
      <c r="H24" s="11" t="str">
        <f aca="false">IFERROR(G24/F24,"")</f>
        <v/>
      </c>
      <c r="I24" s="9" t="s">
        <v>51</v>
      </c>
    </row>
    <row r="25" customFormat="false" ht="13.5" hidden="false" customHeight="true" outlineLevel="0" collapsed="false">
      <c r="A25" s="8" t="s">
        <v>17</v>
      </c>
      <c r="B25" s="9" t="s">
        <v>29</v>
      </c>
      <c r="C25" s="10" t="n">
        <v>9</v>
      </c>
      <c r="E25" s="8" t="s">
        <v>52</v>
      </c>
      <c r="F25" s="10"/>
      <c r="G25" s="10" t="n">
        <f aca="false">SUMIF('Winery Departments'!$A:$A,E25,'Winery Departments'!$C:$C)</f>
        <v>0</v>
      </c>
      <c r="H25" s="11" t="str">
        <f aca="false">IFERROR(G25/F25,"")</f>
        <v/>
      </c>
      <c r="I25" s="9" t="s">
        <v>53</v>
      </c>
    </row>
    <row r="26" customFormat="false" ht="13.5" hidden="false" customHeight="true" outlineLevel="0" collapsed="false">
      <c r="A26" s="8" t="s">
        <v>17</v>
      </c>
      <c r="B26" s="9" t="s">
        <v>23</v>
      </c>
      <c r="C26" s="10" t="n">
        <v>7</v>
      </c>
      <c r="E26" s="8" t="s">
        <v>54</v>
      </c>
      <c r="F26" s="10"/>
      <c r="G26" s="10" t="n">
        <f aca="false">SUMIF('Winery Departments'!$A:$A,E26,'Winery Departments'!$C:$C)</f>
        <v>0</v>
      </c>
      <c r="H26" s="11" t="str">
        <f aca="false">IFERROR(G26/F26,"")</f>
        <v/>
      </c>
      <c r="I26" s="9" t="s">
        <v>45</v>
      </c>
    </row>
    <row r="27" customFormat="false" ht="13.5" hidden="false" customHeight="true" outlineLevel="0" collapsed="false">
      <c r="A27" s="8" t="s">
        <v>18</v>
      </c>
      <c r="B27" s="9" t="s">
        <v>12</v>
      </c>
      <c r="C27" s="10" t="n">
        <v>5</v>
      </c>
      <c r="E27" s="8" t="s">
        <v>55</v>
      </c>
      <c r="F27" s="10"/>
      <c r="G27" s="10" t="n">
        <f aca="false">SUMIF('Winery Departments'!$A:$A,E27,'Winery Departments'!$C:$C)</f>
        <v>0</v>
      </c>
      <c r="H27" s="11" t="str">
        <f aca="false">IFERROR(G27/F27,"")</f>
        <v/>
      </c>
      <c r="I27" s="9" t="s">
        <v>37</v>
      </c>
    </row>
    <row r="28" customFormat="false" ht="13.5" hidden="false" customHeight="true" outlineLevel="0" collapsed="false">
      <c r="A28" s="8" t="s">
        <v>18</v>
      </c>
      <c r="B28" s="9" t="s">
        <v>14</v>
      </c>
      <c r="C28" s="10" t="n">
        <v>1</v>
      </c>
      <c r="E28" s="8" t="s">
        <v>56</v>
      </c>
      <c r="F28" s="10"/>
      <c r="G28" s="10" t="n">
        <f aca="false">SUMIF('Winery Departments'!$A:$A,E28,'Winery Departments'!$C:$C)</f>
        <v>0</v>
      </c>
      <c r="H28" s="11" t="str">
        <f aca="false">IFERROR(G28/F28,"")</f>
        <v/>
      </c>
      <c r="I28" s="9" t="s">
        <v>57</v>
      </c>
    </row>
    <row r="29" customFormat="false" ht="13.5" hidden="false" customHeight="true" outlineLevel="0" collapsed="false">
      <c r="A29" s="8" t="s">
        <v>18</v>
      </c>
      <c r="B29" s="9" t="s">
        <v>8</v>
      </c>
      <c r="C29" s="10" t="n">
        <v>1</v>
      </c>
      <c r="E29" s="8" t="s">
        <v>58</v>
      </c>
      <c r="F29" s="10"/>
      <c r="G29" s="10" t="n">
        <f aca="false">SUMIF('Winery Departments'!$A:$A,E29,'Winery Departments'!$C:$C)</f>
        <v>0</v>
      </c>
      <c r="H29" s="11" t="str">
        <f aca="false">IFERROR(G29/F29,"")</f>
        <v/>
      </c>
      <c r="I29" s="9" t="s">
        <v>37</v>
      </c>
    </row>
    <row r="30" customFormat="false" ht="13.5" hidden="false" customHeight="true" outlineLevel="0" collapsed="false">
      <c r="A30" s="8" t="s">
        <v>18</v>
      </c>
      <c r="B30" s="9" t="s">
        <v>23</v>
      </c>
      <c r="C30" s="10" t="n">
        <v>1</v>
      </c>
      <c r="E30" s="8" t="s">
        <v>59</v>
      </c>
      <c r="F30" s="10"/>
      <c r="G30" s="10" t="n">
        <f aca="false">SUMIF('Winery Departments'!$A:$A,E30,'Winery Departments'!$C:$C)</f>
        <v>0</v>
      </c>
      <c r="H30" s="11" t="str">
        <f aca="false">IFERROR(G30/F30,"")</f>
        <v/>
      </c>
      <c r="I30" s="9" t="s">
        <v>60</v>
      </c>
    </row>
    <row r="31" customFormat="false" ht="13.5" hidden="false" customHeight="true" outlineLevel="0" collapsed="false">
      <c r="A31" s="8" t="s">
        <v>19</v>
      </c>
      <c r="B31" s="9" t="s">
        <v>12</v>
      </c>
      <c r="C31" s="10" t="n">
        <v>7</v>
      </c>
      <c r="E31" s="12" t="s">
        <v>61</v>
      </c>
      <c r="F31" s="13"/>
      <c r="G31" s="13" t="n">
        <f aca="false">SUMIF('Winery Departments'!$A:$A,E31,'Winery Departments'!$C:$C)</f>
        <v>0</v>
      </c>
      <c r="H31" s="14" t="str">
        <f aca="false">IFERROR(G31/F31,"")</f>
        <v/>
      </c>
      <c r="I31" s="15" t="s">
        <v>62</v>
      </c>
    </row>
    <row r="32" customFormat="false" ht="13.5" hidden="false" customHeight="true" outlineLevel="0" collapsed="false">
      <c r="A32" s="8" t="s">
        <v>19</v>
      </c>
      <c r="B32" s="9" t="s">
        <v>9</v>
      </c>
      <c r="C32" s="10" t="n">
        <v>2</v>
      </c>
    </row>
    <row r="33" customFormat="false" ht="13.5" hidden="false" customHeight="true" outlineLevel="0" collapsed="false">
      <c r="A33" s="8" t="s">
        <v>19</v>
      </c>
      <c r="B33" s="9" t="s">
        <v>21</v>
      </c>
      <c r="C33" s="10" t="n">
        <v>1</v>
      </c>
    </row>
    <row r="34" customFormat="false" ht="13.5" hidden="false" customHeight="true" outlineLevel="0" collapsed="false">
      <c r="A34" s="8" t="s">
        <v>19</v>
      </c>
      <c r="B34" s="9" t="s">
        <v>23</v>
      </c>
      <c r="C34" s="10" t="n">
        <v>1</v>
      </c>
    </row>
    <row r="35" customFormat="false" ht="13.5" hidden="false" customHeight="true" outlineLevel="0" collapsed="false">
      <c r="A35" s="8" t="s">
        <v>22</v>
      </c>
      <c r="B35" s="9" t="s">
        <v>12</v>
      </c>
      <c r="C35" s="10" t="n">
        <v>14</v>
      </c>
    </row>
    <row r="36" customFormat="false" ht="13.5" hidden="false" customHeight="true" outlineLevel="0" collapsed="false">
      <c r="A36" s="8" t="s">
        <v>22</v>
      </c>
      <c r="B36" s="9" t="s">
        <v>8</v>
      </c>
      <c r="C36" s="10" t="n">
        <v>7</v>
      </c>
    </row>
    <row r="37" customFormat="false" ht="13.5" hidden="false" customHeight="true" outlineLevel="0" collapsed="false">
      <c r="A37" s="8" t="s">
        <v>22</v>
      </c>
      <c r="B37" s="9" t="s">
        <v>9</v>
      </c>
      <c r="C37" s="10" t="n">
        <v>5</v>
      </c>
    </row>
    <row r="38" customFormat="false" ht="13.5" hidden="false" customHeight="true" outlineLevel="0" collapsed="false">
      <c r="A38" s="8" t="s">
        <v>22</v>
      </c>
      <c r="B38" s="9" t="s">
        <v>14</v>
      </c>
      <c r="C38" s="10" t="n">
        <v>3</v>
      </c>
    </row>
    <row r="39" customFormat="false" ht="13.5" hidden="false" customHeight="true" outlineLevel="0" collapsed="false">
      <c r="A39" s="8" t="s">
        <v>22</v>
      </c>
      <c r="B39" s="9" t="s">
        <v>63</v>
      </c>
      <c r="C39" s="10" t="n">
        <v>3</v>
      </c>
    </row>
    <row r="40" customFormat="false" ht="13.5" hidden="false" customHeight="true" outlineLevel="0" collapsed="false">
      <c r="A40" s="8" t="s">
        <v>24</v>
      </c>
      <c r="B40" s="9" t="s">
        <v>8</v>
      </c>
      <c r="C40" s="10" t="n">
        <v>4</v>
      </c>
    </row>
    <row r="41" customFormat="false" ht="13.5" hidden="false" customHeight="true" outlineLevel="0" collapsed="false">
      <c r="A41" s="8" t="s">
        <v>24</v>
      </c>
      <c r="B41" s="9" t="s">
        <v>12</v>
      </c>
      <c r="C41" s="10" t="n">
        <v>2</v>
      </c>
    </row>
    <row r="42" customFormat="false" ht="13.5" hidden="false" customHeight="true" outlineLevel="0" collapsed="false">
      <c r="A42" s="8" t="s">
        <v>24</v>
      </c>
      <c r="B42" s="9" t="s">
        <v>23</v>
      </c>
      <c r="C42" s="10" t="n">
        <v>2</v>
      </c>
    </row>
    <row r="43" customFormat="false" ht="13.5" hidden="false" customHeight="true" outlineLevel="0" collapsed="false">
      <c r="A43" s="8" t="s">
        <v>24</v>
      </c>
      <c r="B43" s="9" t="s">
        <v>29</v>
      </c>
      <c r="C43" s="10" t="n">
        <v>1</v>
      </c>
    </row>
    <row r="44" customFormat="false" ht="13.5" hidden="false" customHeight="true" outlineLevel="0" collapsed="false">
      <c r="A44" s="8" t="s">
        <v>24</v>
      </c>
      <c r="B44" s="9" t="s">
        <v>64</v>
      </c>
      <c r="C44" s="10" t="n">
        <v>1</v>
      </c>
    </row>
    <row r="45" customFormat="false" ht="13.5" hidden="false" customHeight="true" outlineLevel="0" collapsed="false">
      <c r="A45" s="8" t="s">
        <v>25</v>
      </c>
      <c r="B45" s="9" t="s">
        <v>9</v>
      </c>
      <c r="C45" s="10" t="n">
        <v>4</v>
      </c>
    </row>
    <row r="46" customFormat="false" ht="13.5" hidden="false" customHeight="true" outlineLevel="0" collapsed="false">
      <c r="A46" s="8" t="s">
        <v>25</v>
      </c>
      <c r="B46" s="9" t="s">
        <v>12</v>
      </c>
      <c r="C46" s="10" t="n">
        <v>4</v>
      </c>
    </row>
    <row r="47" customFormat="false" ht="13.5" hidden="false" customHeight="true" outlineLevel="0" collapsed="false">
      <c r="A47" s="8" t="s">
        <v>25</v>
      </c>
      <c r="B47" s="9" t="s">
        <v>65</v>
      </c>
      <c r="C47" s="10" t="n">
        <v>1</v>
      </c>
    </row>
    <row r="48" customFormat="false" ht="13.5" hidden="false" customHeight="true" outlineLevel="0" collapsed="false">
      <c r="A48" s="8" t="s">
        <v>25</v>
      </c>
      <c r="B48" s="9" t="s">
        <v>8</v>
      </c>
      <c r="C48" s="10" t="n">
        <v>1</v>
      </c>
    </row>
    <row r="49" customFormat="false" ht="13.5" hidden="false" customHeight="true" outlineLevel="0" collapsed="false">
      <c r="A49" s="8" t="s">
        <v>25</v>
      </c>
      <c r="B49" s="9" t="s">
        <v>40</v>
      </c>
      <c r="C49" s="10" t="n">
        <v>1</v>
      </c>
    </row>
    <row r="50" customFormat="false" ht="13.5" hidden="false" customHeight="true" outlineLevel="0" collapsed="false">
      <c r="A50" s="8" t="s">
        <v>26</v>
      </c>
      <c r="B50" s="9" t="s">
        <v>12</v>
      </c>
      <c r="C50" s="10" t="n">
        <v>5</v>
      </c>
    </row>
    <row r="51" customFormat="false" ht="13.5" hidden="false" customHeight="true" outlineLevel="0" collapsed="false">
      <c r="A51" s="8" t="s">
        <v>26</v>
      </c>
      <c r="B51" s="9" t="s">
        <v>9</v>
      </c>
      <c r="C51" s="10" t="n">
        <v>2</v>
      </c>
    </row>
    <row r="52" customFormat="false" ht="13.5" hidden="false" customHeight="true" outlineLevel="0" collapsed="false">
      <c r="A52" s="8" t="s">
        <v>26</v>
      </c>
      <c r="B52" s="9" t="s">
        <v>8</v>
      </c>
      <c r="C52" s="10" t="n">
        <v>2</v>
      </c>
    </row>
    <row r="53" customFormat="false" ht="13.5" hidden="false" customHeight="true" outlineLevel="0" collapsed="false">
      <c r="A53" s="8" t="s">
        <v>26</v>
      </c>
      <c r="B53" s="9" t="s">
        <v>63</v>
      </c>
      <c r="C53" s="10" t="n">
        <v>1</v>
      </c>
    </row>
    <row r="54" customFormat="false" ht="13.5" hidden="false" customHeight="true" outlineLevel="0" collapsed="false">
      <c r="A54" s="8" t="s">
        <v>26</v>
      </c>
      <c r="B54" s="9" t="s">
        <v>31</v>
      </c>
      <c r="C54" s="10" t="n">
        <v>1</v>
      </c>
    </row>
    <row r="55" customFormat="false" ht="13.5" hidden="false" customHeight="true" outlineLevel="0" collapsed="false">
      <c r="A55" s="8" t="s">
        <v>27</v>
      </c>
      <c r="B55" s="9" t="s">
        <v>12</v>
      </c>
      <c r="C55" s="10" t="n">
        <v>4</v>
      </c>
    </row>
    <row r="56" customFormat="false" ht="13.5" hidden="false" customHeight="true" outlineLevel="0" collapsed="false">
      <c r="A56" s="8" t="s">
        <v>27</v>
      </c>
      <c r="B56" s="9" t="s">
        <v>8</v>
      </c>
      <c r="C56" s="10" t="n">
        <v>2</v>
      </c>
    </row>
    <row r="57" customFormat="false" ht="13.5" hidden="false" customHeight="true" outlineLevel="0" collapsed="false">
      <c r="A57" s="8" t="s">
        <v>27</v>
      </c>
      <c r="B57" s="9" t="s">
        <v>29</v>
      </c>
      <c r="C57" s="10" t="n">
        <v>1</v>
      </c>
    </row>
    <row r="58" customFormat="false" ht="13.5" hidden="false" customHeight="true" outlineLevel="0" collapsed="false">
      <c r="A58" s="8" t="s">
        <v>27</v>
      </c>
      <c r="B58" s="9" t="s">
        <v>9</v>
      </c>
      <c r="C58" s="10" t="n">
        <v>1</v>
      </c>
    </row>
    <row r="59" customFormat="false" ht="13.5" hidden="false" customHeight="true" outlineLevel="0" collapsed="false">
      <c r="A59" s="8" t="s">
        <v>27</v>
      </c>
      <c r="B59" s="9" t="s">
        <v>21</v>
      </c>
      <c r="C59" s="10" t="n">
        <v>1</v>
      </c>
    </row>
    <row r="60" customFormat="false" ht="13.5" hidden="false" customHeight="true" outlineLevel="0" collapsed="false">
      <c r="A60" s="8" t="s">
        <v>28</v>
      </c>
      <c r="B60" s="9" t="s">
        <v>12</v>
      </c>
      <c r="C60" s="10" t="n">
        <v>7</v>
      </c>
    </row>
    <row r="61" customFormat="false" ht="13.5" hidden="false" customHeight="true" outlineLevel="0" collapsed="false">
      <c r="A61" s="8" t="s">
        <v>28</v>
      </c>
      <c r="B61" s="9" t="s">
        <v>8</v>
      </c>
      <c r="C61" s="10" t="n">
        <v>3</v>
      </c>
    </row>
    <row r="62" customFormat="false" ht="13.5" hidden="false" customHeight="true" outlineLevel="0" collapsed="false">
      <c r="A62" s="8" t="s">
        <v>28</v>
      </c>
      <c r="B62" s="9" t="s">
        <v>21</v>
      </c>
      <c r="C62" s="10" t="n">
        <v>3</v>
      </c>
    </row>
    <row r="63" customFormat="false" ht="13.5" hidden="false" customHeight="true" outlineLevel="0" collapsed="false">
      <c r="A63" s="8" t="s">
        <v>28</v>
      </c>
      <c r="B63" s="9" t="s">
        <v>23</v>
      </c>
      <c r="C63" s="10" t="n">
        <v>2</v>
      </c>
    </row>
    <row r="64" customFormat="false" ht="13.5" hidden="false" customHeight="true" outlineLevel="0" collapsed="false">
      <c r="A64" s="8" t="s">
        <v>28</v>
      </c>
      <c r="B64" s="9" t="s">
        <v>9</v>
      </c>
      <c r="C64" s="10" t="n">
        <v>1</v>
      </c>
    </row>
    <row r="65" customFormat="false" ht="13.5" hidden="false" customHeight="true" outlineLevel="0" collapsed="false">
      <c r="A65" s="8" t="s">
        <v>30</v>
      </c>
      <c r="B65" s="9" t="s">
        <v>12</v>
      </c>
      <c r="C65" s="10" t="n">
        <v>24</v>
      </c>
    </row>
    <row r="66" customFormat="false" ht="13.5" hidden="false" customHeight="true" outlineLevel="0" collapsed="false">
      <c r="A66" s="8" t="s">
        <v>30</v>
      </c>
      <c r="B66" s="9" t="s">
        <v>8</v>
      </c>
      <c r="C66" s="10" t="n">
        <v>6</v>
      </c>
    </row>
    <row r="67" customFormat="false" ht="13.5" hidden="false" customHeight="true" outlineLevel="0" collapsed="false">
      <c r="A67" s="8" t="s">
        <v>30</v>
      </c>
      <c r="B67" s="9" t="s">
        <v>66</v>
      </c>
      <c r="C67" s="10" t="n">
        <v>2</v>
      </c>
    </row>
    <row r="68" customFormat="false" ht="13.5" hidden="false" customHeight="true" outlineLevel="0" collapsed="false">
      <c r="A68" s="8" t="s">
        <v>30</v>
      </c>
      <c r="B68" s="9" t="s">
        <v>14</v>
      </c>
      <c r="C68" s="10" t="n">
        <v>1</v>
      </c>
    </row>
    <row r="69" customFormat="false" ht="13.5" hidden="false" customHeight="true" outlineLevel="0" collapsed="false">
      <c r="A69" s="8" t="s">
        <v>30</v>
      </c>
      <c r="B69" s="9" t="s">
        <v>29</v>
      </c>
      <c r="C69" s="10" t="n">
        <v>1</v>
      </c>
    </row>
    <row r="70" customFormat="false" ht="13.5" hidden="false" customHeight="true" outlineLevel="0" collapsed="false">
      <c r="A70" s="8" t="s">
        <v>32</v>
      </c>
      <c r="B70" s="9" t="s">
        <v>12</v>
      </c>
      <c r="C70" s="10" t="n">
        <v>12</v>
      </c>
    </row>
    <row r="71" customFormat="false" ht="13.5" hidden="false" customHeight="true" outlineLevel="0" collapsed="false">
      <c r="A71" s="8" t="s">
        <v>32</v>
      </c>
      <c r="B71" s="9" t="s">
        <v>8</v>
      </c>
      <c r="C71" s="10" t="n">
        <v>8</v>
      </c>
    </row>
    <row r="72" customFormat="false" ht="13.5" hidden="false" customHeight="true" outlineLevel="0" collapsed="false">
      <c r="A72" s="8" t="s">
        <v>32</v>
      </c>
      <c r="B72" s="9" t="s">
        <v>21</v>
      </c>
      <c r="C72" s="10" t="n">
        <v>6</v>
      </c>
    </row>
    <row r="73" customFormat="false" ht="13.5" hidden="false" customHeight="true" outlineLevel="0" collapsed="false">
      <c r="A73" s="8" t="s">
        <v>32</v>
      </c>
      <c r="B73" s="9" t="s">
        <v>14</v>
      </c>
      <c r="C73" s="10" t="n">
        <v>4</v>
      </c>
    </row>
    <row r="74" customFormat="false" ht="13.5" hidden="false" customHeight="true" outlineLevel="0" collapsed="false">
      <c r="A74" s="12" t="s">
        <v>32</v>
      </c>
      <c r="B74" s="15" t="s">
        <v>23</v>
      </c>
      <c r="C74" s="13" t="n">
        <v>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B12" activeCellId="0" sqref="B12"/>
    </sheetView>
  </sheetViews>
  <sheetFormatPr defaultColWidth="8.83203125" defaultRowHeight="13.5" zeroHeight="false" outlineLevelRow="0" outlineLevelCol="0"/>
  <cols>
    <col collapsed="false" customWidth="true" hidden="false" outlineLevel="0" max="1" min="1" style="1" width="21"/>
    <col collapsed="false" customWidth="true" hidden="false" outlineLevel="0" max="2" min="2" style="1" width="37"/>
    <col collapsed="false" customWidth="true" hidden="false" outlineLevel="0" max="3" min="3" style="1" width="23"/>
    <col collapsed="false" customWidth="true" hidden="false" outlineLevel="0" max="4" min="4" style="1" width="26"/>
    <col collapsed="false" customWidth="true" hidden="false" outlineLevel="0" max="5" min="5" style="1" width="27"/>
    <col collapsed="false" customWidth="true" hidden="false" outlineLevel="0" max="6" min="6" style="1" width="33"/>
    <col collapsed="false" customWidth="true" hidden="false" outlineLevel="0" max="7" min="7" style="1" width="52"/>
    <col collapsed="false" customWidth="true" hidden="false" outlineLevel="0" max="8" min="8" style="1" width="45"/>
  </cols>
  <sheetData>
    <row r="1" customFormat="false" ht="13.5" hidden="false" customHeight="true" outlineLevel="0" collapsed="false">
      <c r="A1" s="2" t="s">
        <v>0</v>
      </c>
      <c r="B1" s="2" t="s">
        <v>67</v>
      </c>
      <c r="C1" s="2" t="s">
        <v>68</v>
      </c>
      <c r="D1" s="2" t="s">
        <v>69</v>
      </c>
      <c r="E1" s="2" t="s">
        <v>70</v>
      </c>
      <c r="F1" s="2" t="s">
        <v>71</v>
      </c>
      <c r="G1" s="2" t="s">
        <v>72</v>
      </c>
      <c r="H1" s="2" t="s">
        <v>73</v>
      </c>
    </row>
    <row r="2" customFormat="false" ht="13.5" hidden="false" customHeight="true" outlineLevel="0" collapsed="false">
      <c r="A2" s="16" t="s">
        <v>7</v>
      </c>
      <c r="B2" s="17" t="s">
        <v>74</v>
      </c>
      <c r="C2" s="17" t="s">
        <v>75</v>
      </c>
      <c r="D2" s="17" t="s">
        <v>76</v>
      </c>
      <c r="E2" s="16" t="s">
        <v>77</v>
      </c>
      <c r="F2" s="17" t="s">
        <v>78</v>
      </c>
      <c r="G2" s="17" t="s">
        <v>79</v>
      </c>
      <c r="H2" s="18" t="s">
        <v>80</v>
      </c>
    </row>
    <row r="3" customFormat="false" ht="13.5" hidden="false" customHeight="true" outlineLevel="0" collapsed="false">
      <c r="A3" s="16" t="s">
        <v>7</v>
      </c>
      <c r="B3" s="17" t="s">
        <v>81</v>
      </c>
      <c r="C3" s="17" t="s">
        <v>75</v>
      </c>
      <c r="D3" s="17" t="s">
        <v>82</v>
      </c>
      <c r="E3" s="16" t="s">
        <v>77</v>
      </c>
      <c r="F3" s="17" t="s">
        <v>78</v>
      </c>
      <c r="G3" s="17" t="s">
        <v>83</v>
      </c>
      <c r="H3" s="18" t="s">
        <v>80</v>
      </c>
    </row>
    <row r="4" customFormat="false" ht="13.5" hidden="false" customHeight="true" outlineLevel="0" collapsed="false">
      <c r="A4" s="16" t="s">
        <v>7</v>
      </c>
      <c r="B4" s="17" t="s">
        <v>84</v>
      </c>
      <c r="C4" s="17" t="s">
        <v>75</v>
      </c>
      <c r="D4" s="17" t="s">
        <v>82</v>
      </c>
      <c r="E4" s="16" t="s">
        <v>85</v>
      </c>
      <c r="F4" s="17" t="s">
        <v>86</v>
      </c>
      <c r="G4" s="17" t="s">
        <v>87</v>
      </c>
      <c r="H4" s="18" t="s">
        <v>80</v>
      </c>
    </row>
    <row r="5" customFormat="false" ht="13.5" hidden="false" customHeight="true" outlineLevel="0" collapsed="false">
      <c r="A5" s="16" t="s">
        <v>7</v>
      </c>
      <c r="B5" s="17" t="s">
        <v>88</v>
      </c>
      <c r="C5" s="17" t="s">
        <v>89</v>
      </c>
      <c r="D5" s="17" t="s">
        <v>90</v>
      </c>
      <c r="E5" s="16" t="s">
        <v>91</v>
      </c>
      <c r="F5" s="17" t="s">
        <v>92</v>
      </c>
      <c r="G5" s="17" t="s">
        <v>93</v>
      </c>
      <c r="H5" s="18" t="s">
        <v>94</v>
      </c>
    </row>
    <row r="6" customFormat="false" ht="13.5" hidden="false" customHeight="true" outlineLevel="0" collapsed="false">
      <c r="A6" s="16" t="s">
        <v>7</v>
      </c>
      <c r="B6" s="17" t="s">
        <v>95</v>
      </c>
      <c r="C6" s="17" t="s">
        <v>89</v>
      </c>
      <c r="D6" s="17" t="s">
        <v>82</v>
      </c>
      <c r="E6" s="16" t="s">
        <v>91</v>
      </c>
      <c r="F6" s="17" t="s">
        <v>92</v>
      </c>
      <c r="G6" s="17" t="s">
        <v>96</v>
      </c>
      <c r="H6" s="18" t="s">
        <v>94</v>
      </c>
    </row>
    <row r="7" customFormat="false" ht="13.5" hidden="false" customHeight="true" outlineLevel="0" collapsed="false">
      <c r="A7" s="16" t="s">
        <v>7</v>
      </c>
      <c r="B7" s="17" t="s">
        <v>97</v>
      </c>
      <c r="C7" s="17" t="s">
        <v>89</v>
      </c>
      <c r="D7" s="17" t="s">
        <v>82</v>
      </c>
      <c r="E7" s="16" t="s">
        <v>91</v>
      </c>
      <c r="F7" s="17" t="s">
        <v>92</v>
      </c>
      <c r="G7" s="17" t="s">
        <v>98</v>
      </c>
      <c r="H7" s="18" t="s">
        <v>94</v>
      </c>
    </row>
    <row r="8" customFormat="false" ht="13.5" hidden="false" customHeight="true" outlineLevel="0" collapsed="false">
      <c r="A8" s="16" t="s">
        <v>7</v>
      </c>
      <c r="B8" s="17" t="s">
        <v>99</v>
      </c>
      <c r="C8" s="17" t="s">
        <v>89</v>
      </c>
      <c r="D8" s="17" t="s">
        <v>82</v>
      </c>
      <c r="E8" s="16" t="s">
        <v>91</v>
      </c>
      <c r="F8" s="17" t="s">
        <v>92</v>
      </c>
      <c r="G8" s="17" t="s">
        <v>100</v>
      </c>
      <c r="H8" s="18" t="s">
        <v>94</v>
      </c>
    </row>
    <row r="9" customFormat="false" ht="13.5" hidden="false" customHeight="true" outlineLevel="0" collapsed="false">
      <c r="A9" s="16" t="s">
        <v>7</v>
      </c>
      <c r="B9" s="17" t="s">
        <v>101</v>
      </c>
      <c r="C9" s="17" t="s">
        <v>89</v>
      </c>
      <c r="D9" s="17" t="s">
        <v>102</v>
      </c>
      <c r="E9" s="16" t="s">
        <v>91</v>
      </c>
      <c r="F9" s="17" t="s">
        <v>92</v>
      </c>
      <c r="G9" s="17" t="s">
        <v>103</v>
      </c>
      <c r="H9" s="18" t="s">
        <v>94</v>
      </c>
    </row>
    <row r="10" customFormat="false" ht="13.5" hidden="false" customHeight="true" outlineLevel="0" collapsed="false">
      <c r="A10" s="16" t="s">
        <v>13</v>
      </c>
      <c r="B10" s="17" t="s">
        <v>104</v>
      </c>
      <c r="C10" s="17" t="s">
        <v>75</v>
      </c>
      <c r="D10" s="17" t="s">
        <v>105</v>
      </c>
      <c r="E10" s="16" t="s">
        <v>85</v>
      </c>
      <c r="F10" s="17" t="s">
        <v>106</v>
      </c>
      <c r="G10" s="17" t="s">
        <v>107</v>
      </c>
      <c r="H10" s="18" t="s">
        <v>108</v>
      </c>
    </row>
    <row r="11" customFormat="false" ht="13.5" hidden="false" customHeight="true" outlineLevel="0" collapsed="false">
      <c r="A11" s="16" t="s">
        <v>13</v>
      </c>
      <c r="B11" s="17" t="s">
        <v>109</v>
      </c>
      <c r="C11" s="17" t="s">
        <v>75</v>
      </c>
      <c r="D11" s="17" t="s">
        <v>110</v>
      </c>
      <c r="E11" s="16" t="s">
        <v>85</v>
      </c>
      <c r="F11" s="17" t="s">
        <v>111</v>
      </c>
      <c r="G11" s="17" t="s">
        <v>112</v>
      </c>
      <c r="H11" s="18" t="s">
        <v>108</v>
      </c>
    </row>
    <row r="12" customFormat="false" ht="13.5" hidden="false" customHeight="true" outlineLevel="0" collapsed="false">
      <c r="A12" s="16" t="s">
        <v>13</v>
      </c>
      <c r="B12" s="17" t="s">
        <v>113</v>
      </c>
      <c r="C12" s="17" t="s">
        <v>75</v>
      </c>
      <c r="D12" s="17" t="s">
        <v>110</v>
      </c>
      <c r="E12" s="16" t="s">
        <v>85</v>
      </c>
      <c r="F12" s="17" t="s">
        <v>114</v>
      </c>
      <c r="G12" s="17" t="s">
        <v>115</v>
      </c>
      <c r="H12" s="18" t="s">
        <v>108</v>
      </c>
    </row>
    <row r="13" customFormat="false" ht="13.5" hidden="false" customHeight="true" outlineLevel="0" collapsed="false">
      <c r="A13" s="16" t="s">
        <v>13</v>
      </c>
      <c r="B13" s="17" t="s">
        <v>116</v>
      </c>
      <c r="C13" s="17" t="s">
        <v>117</v>
      </c>
      <c r="D13" s="17" t="s">
        <v>118</v>
      </c>
      <c r="E13" s="16" t="s">
        <v>119</v>
      </c>
      <c r="F13" s="17" t="s">
        <v>120</v>
      </c>
      <c r="G13" s="17" t="s">
        <v>121</v>
      </c>
      <c r="H13" s="18" t="s">
        <v>122</v>
      </c>
    </row>
    <row r="14" customFormat="false" ht="13.5" hidden="false" customHeight="true" outlineLevel="0" collapsed="false">
      <c r="A14" s="16" t="s">
        <v>17</v>
      </c>
      <c r="B14" s="17" t="s">
        <v>116</v>
      </c>
      <c r="C14" s="17" t="s">
        <v>117</v>
      </c>
      <c r="D14" s="17" t="s">
        <v>118</v>
      </c>
      <c r="E14" s="16" t="s">
        <v>119</v>
      </c>
      <c r="F14" s="17" t="s">
        <v>123</v>
      </c>
      <c r="G14" s="17" t="s">
        <v>124</v>
      </c>
      <c r="H14" s="18" t="s">
        <v>125</v>
      </c>
    </row>
    <row r="15" customFormat="false" ht="13.5" hidden="false" customHeight="true" outlineLevel="0" collapsed="false">
      <c r="A15" s="16" t="s">
        <v>10</v>
      </c>
      <c r="B15" s="17" t="s">
        <v>116</v>
      </c>
      <c r="C15" s="17" t="s">
        <v>117</v>
      </c>
      <c r="D15" s="17" t="s">
        <v>118</v>
      </c>
      <c r="E15" s="16" t="s">
        <v>119</v>
      </c>
      <c r="F15" s="17" t="s">
        <v>123</v>
      </c>
      <c r="G15" s="17" t="s">
        <v>126</v>
      </c>
      <c r="H15" s="18" t="s">
        <v>127</v>
      </c>
    </row>
    <row r="16" customFormat="false" ht="13.5" hidden="false" customHeight="true" outlineLevel="0" collapsed="false">
      <c r="A16" s="16" t="s">
        <v>32</v>
      </c>
      <c r="B16" s="17" t="s">
        <v>116</v>
      </c>
      <c r="C16" s="17" t="s">
        <v>117</v>
      </c>
      <c r="D16" s="17" t="s">
        <v>118</v>
      </c>
      <c r="E16" s="16" t="s">
        <v>119</v>
      </c>
      <c r="F16" s="17" t="s">
        <v>128</v>
      </c>
      <c r="G16" s="17" t="s">
        <v>129</v>
      </c>
      <c r="H16" s="18" t="s">
        <v>130</v>
      </c>
    </row>
    <row r="17" customFormat="false" ht="13.5" hidden="false" customHeight="true" outlineLevel="0" collapsed="false">
      <c r="A17" s="16" t="s">
        <v>22</v>
      </c>
      <c r="B17" s="17" t="s">
        <v>116</v>
      </c>
      <c r="C17" s="17" t="s">
        <v>117</v>
      </c>
      <c r="D17" s="17" t="s">
        <v>118</v>
      </c>
      <c r="E17" s="16" t="s">
        <v>119</v>
      </c>
      <c r="F17" s="17" t="s">
        <v>120</v>
      </c>
      <c r="G17" s="17" t="s">
        <v>131</v>
      </c>
      <c r="H17" s="18" t="s">
        <v>132</v>
      </c>
    </row>
    <row r="18" customFormat="false" ht="13.5" hidden="false" customHeight="true" outlineLevel="0" collapsed="false">
      <c r="A18" s="16" t="s">
        <v>22</v>
      </c>
      <c r="B18" s="17" t="s">
        <v>133</v>
      </c>
      <c r="C18" s="17" t="s">
        <v>134</v>
      </c>
      <c r="D18" s="17" t="s">
        <v>135</v>
      </c>
      <c r="E18" s="16" t="s">
        <v>136</v>
      </c>
      <c r="F18" s="17" t="s">
        <v>137</v>
      </c>
      <c r="G18" s="17" t="s">
        <v>138</v>
      </c>
      <c r="H18" s="18" t="s">
        <v>139</v>
      </c>
    </row>
    <row r="19" customFormat="false" ht="13.5" hidden="false" customHeight="true" outlineLevel="0" collapsed="false">
      <c r="A19" s="16" t="s">
        <v>30</v>
      </c>
      <c r="B19" s="17" t="s">
        <v>140</v>
      </c>
      <c r="C19" s="17" t="s">
        <v>75</v>
      </c>
      <c r="D19" s="17" t="s">
        <v>141</v>
      </c>
      <c r="E19" s="16" t="s">
        <v>142</v>
      </c>
      <c r="F19" s="17" t="s">
        <v>143</v>
      </c>
      <c r="G19" s="17" t="s">
        <v>144</v>
      </c>
      <c r="H19" s="18" t="s">
        <v>145</v>
      </c>
    </row>
    <row r="20" customFormat="false" ht="13.5" hidden="false" customHeight="true" outlineLevel="0" collapsed="false">
      <c r="A20" s="16" t="s">
        <v>15</v>
      </c>
      <c r="B20" s="17" t="s">
        <v>116</v>
      </c>
      <c r="C20" s="17" t="s">
        <v>117</v>
      </c>
      <c r="D20" s="17" t="s">
        <v>118</v>
      </c>
      <c r="E20" s="16" t="s">
        <v>119</v>
      </c>
      <c r="F20" s="17" t="s">
        <v>120</v>
      </c>
      <c r="G20" s="17" t="s">
        <v>146</v>
      </c>
      <c r="H20" s="18" t="s">
        <v>147</v>
      </c>
    </row>
    <row r="21" customFormat="false" ht="13.5" hidden="false" customHeight="true" outlineLevel="0" collapsed="false">
      <c r="A21" s="16" t="s">
        <v>28</v>
      </c>
      <c r="B21" s="17" t="s">
        <v>116</v>
      </c>
      <c r="C21" s="17" t="s">
        <v>117</v>
      </c>
      <c r="D21" s="17" t="s">
        <v>118</v>
      </c>
      <c r="E21" s="16" t="s">
        <v>119</v>
      </c>
      <c r="F21" s="17" t="s">
        <v>120</v>
      </c>
      <c r="G21" s="17" t="s">
        <v>148</v>
      </c>
      <c r="H21" s="18" t="s">
        <v>149</v>
      </c>
    </row>
    <row r="22" customFormat="false" ht="13.5" hidden="false" customHeight="true" outlineLevel="0" collapsed="false">
      <c r="A22" s="16" t="s">
        <v>25</v>
      </c>
      <c r="B22" s="17" t="s">
        <v>116</v>
      </c>
      <c r="C22" s="17" t="s">
        <v>117</v>
      </c>
      <c r="D22" s="17" t="s">
        <v>118</v>
      </c>
      <c r="E22" s="16" t="s">
        <v>119</v>
      </c>
      <c r="F22" s="17" t="s">
        <v>120</v>
      </c>
      <c r="G22" s="17" t="s">
        <v>150</v>
      </c>
      <c r="H22" s="18" t="s">
        <v>151</v>
      </c>
    </row>
    <row r="23" customFormat="false" ht="13.5" hidden="false" customHeight="true" outlineLevel="0" collapsed="false">
      <c r="A23" s="16" t="s">
        <v>18</v>
      </c>
      <c r="B23" s="17" t="s">
        <v>116</v>
      </c>
      <c r="C23" s="17" t="s">
        <v>117</v>
      </c>
      <c r="D23" s="17" t="s">
        <v>118</v>
      </c>
      <c r="E23" s="16" t="s">
        <v>119</v>
      </c>
      <c r="F23" s="17" t="s">
        <v>152</v>
      </c>
      <c r="G23" s="17" t="s">
        <v>153</v>
      </c>
      <c r="H23" s="18" t="s">
        <v>154</v>
      </c>
    </row>
    <row r="24" customFormat="false" ht="13.5" hidden="false" customHeight="true" outlineLevel="0" collapsed="false">
      <c r="A24" s="16" t="s">
        <v>18</v>
      </c>
      <c r="B24" s="17" t="s">
        <v>155</v>
      </c>
      <c r="C24" s="17" t="s">
        <v>156</v>
      </c>
      <c r="D24" s="17" t="s">
        <v>157</v>
      </c>
      <c r="E24" s="16" t="s">
        <v>158</v>
      </c>
      <c r="F24" s="17" t="s">
        <v>159</v>
      </c>
      <c r="G24" s="17" t="s">
        <v>160</v>
      </c>
      <c r="H24" s="18" t="s">
        <v>161</v>
      </c>
    </row>
    <row r="25" customFormat="false" ht="13.5" hidden="false" customHeight="true" outlineLevel="0" collapsed="false">
      <c r="A25" s="16" t="s">
        <v>18</v>
      </c>
      <c r="B25" s="17" t="s">
        <v>162</v>
      </c>
      <c r="C25" s="17" t="s">
        <v>134</v>
      </c>
      <c r="D25" s="17" t="s">
        <v>157</v>
      </c>
      <c r="E25" s="16" t="s">
        <v>163</v>
      </c>
      <c r="F25" s="17" t="s">
        <v>137</v>
      </c>
      <c r="G25" s="17" t="s">
        <v>164</v>
      </c>
      <c r="H25" s="18" t="s">
        <v>165</v>
      </c>
    </row>
    <row r="26" customFormat="false" ht="13.5" hidden="false" customHeight="true" outlineLevel="0" collapsed="false">
      <c r="A26" s="16" t="s">
        <v>19</v>
      </c>
      <c r="B26" s="17" t="s">
        <v>116</v>
      </c>
      <c r="C26" s="17" t="s">
        <v>117</v>
      </c>
      <c r="D26" s="17" t="s">
        <v>118</v>
      </c>
      <c r="E26" s="16" t="s">
        <v>119</v>
      </c>
      <c r="F26" s="17" t="s">
        <v>166</v>
      </c>
      <c r="G26" s="17" t="s">
        <v>167</v>
      </c>
      <c r="H26" s="18" t="s">
        <v>168</v>
      </c>
    </row>
    <row r="27" customFormat="false" ht="13.5" hidden="false" customHeight="true" outlineLevel="0" collapsed="false">
      <c r="A27" s="16" t="s">
        <v>19</v>
      </c>
      <c r="B27" s="17" t="s">
        <v>169</v>
      </c>
      <c r="C27" s="17" t="s">
        <v>134</v>
      </c>
      <c r="D27" s="17" t="s">
        <v>170</v>
      </c>
      <c r="E27" s="16" t="s">
        <v>136</v>
      </c>
      <c r="F27" s="17" t="s">
        <v>137</v>
      </c>
      <c r="G27" s="17" t="s">
        <v>171</v>
      </c>
      <c r="H27" s="18" t="s">
        <v>172</v>
      </c>
    </row>
    <row r="28" customFormat="false" ht="13.5" hidden="false" customHeight="true" outlineLevel="0" collapsed="false">
      <c r="A28" s="16" t="s">
        <v>24</v>
      </c>
      <c r="B28" s="17" t="s">
        <v>116</v>
      </c>
      <c r="C28" s="17" t="s">
        <v>117</v>
      </c>
      <c r="D28" s="17" t="s">
        <v>118</v>
      </c>
      <c r="E28" s="16" t="s">
        <v>119</v>
      </c>
      <c r="F28" s="17" t="s">
        <v>120</v>
      </c>
      <c r="G28" s="17" t="s">
        <v>173</v>
      </c>
      <c r="H28" s="18" t="s">
        <v>174</v>
      </c>
    </row>
    <row r="29" customFormat="false" ht="13.5" hidden="false" customHeight="true" outlineLevel="0" collapsed="false">
      <c r="A29" s="16" t="s">
        <v>26</v>
      </c>
      <c r="B29" s="17" t="s">
        <v>175</v>
      </c>
      <c r="C29" s="17" t="s">
        <v>156</v>
      </c>
      <c r="D29" s="17" t="s">
        <v>141</v>
      </c>
      <c r="E29" s="16" t="s">
        <v>176</v>
      </c>
      <c r="F29" s="17" t="s">
        <v>177</v>
      </c>
      <c r="G29" s="17" t="s">
        <v>178</v>
      </c>
      <c r="H29" s="18" t="s">
        <v>179</v>
      </c>
    </row>
    <row r="30" customFormat="false" ht="13.5" hidden="false" customHeight="true" outlineLevel="0" collapsed="false">
      <c r="A30" s="16" t="s">
        <v>26</v>
      </c>
      <c r="B30" s="17" t="s">
        <v>116</v>
      </c>
      <c r="C30" s="17" t="s">
        <v>117</v>
      </c>
      <c r="D30" s="17" t="s">
        <v>118</v>
      </c>
      <c r="E30" s="16" t="s">
        <v>119</v>
      </c>
      <c r="F30" s="17" t="s">
        <v>120</v>
      </c>
      <c r="G30" s="17" t="s">
        <v>180</v>
      </c>
      <c r="H30" s="18" t="s">
        <v>181</v>
      </c>
    </row>
    <row r="31" customFormat="false" ht="13.5" hidden="false" customHeight="true" outlineLevel="0" collapsed="false">
      <c r="A31" s="16" t="s">
        <v>26</v>
      </c>
      <c r="B31" s="17" t="s">
        <v>182</v>
      </c>
      <c r="C31" s="17" t="s">
        <v>134</v>
      </c>
      <c r="D31" s="17" t="s">
        <v>183</v>
      </c>
      <c r="E31" s="16" t="s">
        <v>136</v>
      </c>
      <c r="F31" s="17" t="s">
        <v>137</v>
      </c>
      <c r="G31" s="17" t="s">
        <v>184</v>
      </c>
      <c r="H31" s="18" t="s">
        <v>185</v>
      </c>
    </row>
    <row r="32" customFormat="false" ht="13.5" hidden="false" customHeight="true" outlineLevel="0" collapsed="false">
      <c r="A32" s="16" t="s">
        <v>27</v>
      </c>
      <c r="B32" s="17" t="s">
        <v>116</v>
      </c>
      <c r="C32" s="17" t="s">
        <v>117</v>
      </c>
      <c r="D32" s="17" t="s">
        <v>118</v>
      </c>
      <c r="E32" s="16" t="s">
        <v>119</v>
      </c>
      <c r="F32" s="17" t="s">
        <v>120</v>
      </c>
      <c r="G32" s="17" t="s">
        <v>186</v>
      </c>
      <c r="H32" s="18" t="s">
        <v>187</v>
      </c>
    </row>
    <row r="33" customFormat="false" ht="13.5" hidden="false" customHeight="true" outlineLevel="0" collapsed="false">
      <c r="A33" s="16" t="s">
        <v>34</v>
      </c>
      <c r="B33" s="17" t="s">
        <v>116</v>
      </c>
      <c r="C33" s="17" t="s">
        <v>117</v>
      </c>
      <c r="D33" s="17" t="s">
        <v>118</v>
      </c>
      <c r="E33" s="16" t="s">
        <v>119</v>
      </c>
      <c r="F33" s="17" t="s">
        <v>188</v>
      </c>
      <c r="G33" s="17" t="s">
        <v>189</v>
      </c>
      <c r="H33" s="18" t="s">
        <v>190</v>
      </c>
    </row>
    <row r="34" customFormat="false" ht="13.5" hidden="false" customHeight="true" outlineLevel="0" collapsed="false">
      <c r="A34" s="16" t="s">
        <v>34</v>
      </c>
      <c r="B34" s="17" t="s">
        <v>191</v>
      </c>
      <c r="C34" s="17" t="s">
        <v>134</v>
      </c>
      <c r="D34" s="17" t="s">
        <v>192</v>
      </c>
      <c r="E34" s="16" t="s">
        <v>136</v>
      </c>
      <c r="F34" s="17" t="s">
        <v>137</v>
      </c>
      <c r="G34" s="17" t="s">
        <v>193</v>
      </c>
      <c r="H34" s="18" t="s">
        <v>194</v>
      </c>
    </row>
    <row r="35" customFormat="false" ht="13.5" hidden="false" customHeight="true" outlineLevel="0" collapsed="false">
      <c r="A35" s="16" t="s">
        <v>36</v>
      </c>
      <c r="B35" s="17" t="s">
        <v>116</v>
      </c>
      <c r="C35" s="17" t="s">
        <v>117</v>
      </c>
      <c r="D35" s="17" t="s">
        <v>118</v>
      </c>
      <c r="E35" s="16" t="s">
        <v>119</v>
      </c>
      <c r="F35" s="17" t="s">
        <v>195</v>
      </c>
      <c r="G35" s="17" t="s">
        <v>196</v>
      </c>
      <c r="H35" s="18" t="s">
        <v>197</v>
      </c>
    </row>
    <row r="36" customFormat="false" ht="13.5" hidden="false" customHeight="true" outlineLevel="0" collapsed="false">
      <c r="A36" s="16" t="s">
        <v>36</v>
      </c>
      <c r="B36" s="17" t="s">
        <v>133</v>
      </c>
      <c r="C36" s="17" t="s">
        <v>134</v>
      </c>
      <c r="D36" s="17" t="s">
        <v>198</v>
      </c>
      <c r="E36" s="16" t="s">
        <v>136</v>
      </c>
      <c r="F36" s="17" t="s">
        <v>137</v>
      </c>
      <c r="G36" s="17" t="s">
        <v>199</v>
      </c>
      <c r="H36" s="18" t="s">
        <v>200</v>
      </c>
    </row>
    <row r="37" customFormat="false" ht="13.5" hidden="false" customHeight="true" outlineLevel="0" collapsed="false">
      <c r="A37" s="16" t="s">
        <v>38</v>
      </c>
      <c r="B37" s="17" t="s">
        <v>116</v>
      </c>
      <c r="C37" s="17" t="s">
        <v>117</v>
      </c>
      <c r="D37" s="17" t="s">
        <v>118</v>
      </c>
      <c r="E37" s="16" t="s">
        <v>119</v>
      </c>
      <c r="F37" s="17" t="s">
        <v>188</v>
      </c>
      <c r="G37" s="17" t="s">
        <v>201</v>
      </c>
      <c r="H37" s="18" t="s">
        <v>202</v>
      </c>
    </row>
    <row r="38" customFormat="false" ht="13.5" hidden="false" customHeight="true" outlineLevel="0" collapsed="false">
      <c r="A38" s="16" t="s">
        <v>38</v>
      </c>
      <c r="B38" s="17" t="s">
        <v>203</v>
      </c>
      <c r="C38" s="17" t="s">
        <v>134</v>
      </c>
      <c r="D38" s="17" t="s">
        <v>135</v>
      </c>
      <c r="E38" s="16" t="s">
        <v>136</v>
      </c>
      <c r="F38" s="17" t="s">
        <v>137</v>
      </c>
      <c r="G38" s="17" t="s">
        <v>204</v>
      </c>
      <c r="H38" s="18" t="s">
        <v>205</v>
      </c>
    </row>
    <row r="39" customFormat="false" ht="13.5" hidden="false" customHeight="true" outlineLevel="0" collapsed="false">
      <c r="A39" s="16" t="s">
        <v>41</v>
      </c>
      <c r="B39" s="17" t="s">
        <v>116</v>
      </c>
      <c r="C39" s="17" t="s">
        <v>117</v>
      </c>
      <c r="D39" s="17" t="s">
        <v>118</v>
      </c>
      <c r="E39" s="16" t="s">
        <v>119</v>
      </c>
      <c r="F39" s="17" t="s">
        <v>188</v>
      </c>
      <c r="G39" s="17" t="s">
        <v>206</v>
      </c>
      <c r="H39" s="18" t="s">
        <v>207</v>
      </c>
    </row>
    <row r="40" customFormat="false" ht="13.5" hidden="false" customHeight="true" outlineLevel="0" collapsed="false">
      <c r="A40" s="16" t="s">
        <v>41</v>
      </c>
      <c r="B40" s="17" t="s">
        <v>208</v>
      </c>
      <c r="C40" s="17" t="s">
        <v>117</v>
      </c>
      <c r="D40" s="17" t="s">
        <v>209</v>
      </c>
      <c r="E40" s="16" t="s">
        <v>210</v>
      </c>
      <c r="F40" s="17" t="s">
        <v>211</v>
      </c>
      <c r="G40" s="17" t="s">
        <v>212</v>
      </c>
      <c r="H40" s="18" t="s">
        <v>213</v>
      </c>
    </row>
    <row r="41" customFormat="false" ht="13.5" hidden="false" customHeight="true" outlineLevel="0" collapsed="false">
      <c r="A41" s="16" t="s">
        <v>44</v>
      </c>
      <c r="B41" s="17" t="s">
        <v>116</v>
      </c>
      <c r="C41" s="17" t="s">
        <v>117</v>
      </c>
      <c r="D41" s="17" t="s">
        <v>118</v>
      </c>
      <c r="E41" s="16" t="s">
        <v>119</v>
      </c>
      <c r="F41" s="17" t="s">
        <v>188</v>
      </c>
      <c r="G41" s="17" t="s">
        <v>214</v>
      </c>
      <c r="H41" s="18" t="s">
        <v>215</v>
      </c>
    </row>
    <row r="42" customFormat="false" ht="13.5" hidden="false" customHeight="true" outlineLevel="0" collapsed="false">
      <c r="A42" s="16" t="s">
        <v>44</v>
      </c>
      <c r="B42" s="17" t="s">
        <v>169</v>
      </c>
      <c r="C42" s="17" t="s">
        <v>134</v>
      </c>
      <c r="D42" s="17" t="s">
        <v>216</v>
      </c>
      <c r="E42" s="16" t="s">
        <v>136</v>
      </c>
      <c r="F42" s="17" t="s">
        <v>137</v>
      </c>
      <c r="G42" s="17" t="s">
        <v>217</v>
      </c>
      <c r="H42" s="18" t="s">
        <v>218</v>
      </c>
    </row>
    <row r="43" customFormat="false" ht="13.5" hidden="false" customHeight="true" outlineLevel="0" collapsed="false">
      <c r="A43" s="16" t="s">
        <v>46</v>
      </c>
      <c r="B43" s="17" t="s">
        <v>116</v>
      </c>
      <c r="C43" s="17" t="s">
        <v>117</v>
      </c>
      <c r="D43" s="17" t="s">
        <v>118</v>
      </c>
      <c r="E43" s="16" t="s">
        <v>119</v>
      </c>
      <c r="F43" s="17" t="s">
        <v>188</v>
      </c>
      <c r="G43" s="17" t="s">
        <v>219</v>
      </c>
      <c r="H43" s="18" t="s">
        <v>220</v>
      </c>
    </row>
    <row r="44" customFormat="false" ht="13.5" hidden="false" customHeight="true" outlineLevel="0" collapsed="false">
      <c r="A44" s="16" t="s">
        <v>46</v>
      </c>
      <c r="B44" s="17" t="s">
        <v>182</v>
      </c>
      <c r="C44" s="17" t="s">
        <v>134</v>
      </c>
      <c r="D44" s="17" t="s">
        <v>221</v>
      </c>
      <c r="E44" s="16" t="s">
        <v>136</v>
      </c>
      <c r="F44" s="17" t="s">
        <v>137</v>
      </c>
      <c r="G44" s="17" t="s">
        <v>222</v>
      </c>
      <c r="H44" s="18" t="s">
        <v>223</v>
      </c>
    </row>
    <row r="45" customFormat="false" ht="13.5" hidden="false" customHeight="true" outlineLevel="0" collapsed="false">
      <c r="A45" s="16" t="s">
        <v>48</v>
      </c>
      <c r="B45" s="17" t="s">
        <v>116</v>
      </c>
      <c r="C45" s="17" t="s">
        <v>117</v>
      </c>
      <c r="D45" s="17" t="s">
        <v>118</v>
      </c>
      <c r="E45" s="16" t="s">
        <v>119</v>
      </c>
      <c r="F45" s="17" t="s">
        <v>188</v>
      </c>
      <c r="G45" s="17" t="s">
        <v>224</v>
      </c>
      <c r="H45" s="18" t="s">
        <v>225</v>
      </c>
    </row>
    <row r="46" customFormat="false" ht="13.5" hidden="false" customHeight="true" outlineLevel="0" collapsed="false">
      <c r="A46" s="16" t="s">
        <v>48</v>
      </c>
      <c r="B46" s="17" t="s">
        <v>226</v>
      </c>
      <c r="C46" s="17" t="s">
        <v>134</v>
      </c>
      <c r="D46" s="17" t="s">
        <v>227</v>
      </c>
      <c r="E46" s="16" t="s">
        <v>136</v>
      </c>
      <c r="F46" s="17" t="s">
        <v>137</v>
      </c>
      <c r="G46" s="17" t="s">
        <v>228</v>
      </c>
      <c r="H46" s="18" t="s">
        <v>229</v>
      </c>
    </row>
    <row r="47" customFormat="false" ht="13.5" hidden="false" customHeight="true" outlineLevel="0" collapsed="false">
      <c r="A47" s="16" t="s">
        <v>50</v>
      </c>
      <c r="B47" s="17" t="s">
        <v>116</v>
      </c>
      <c r="C47" s="17" t="s">
        <v>117</v>
      </c>
      <c r="D47" s="17" t="s">
        <v>118</v>
      </c>
      <c r="E47" s="16" t="s">
        <v>119</v>
      </c>
      <c r="F47" s="17" t="s">
        <v>188</v>
      </c>
      <c r="G47" s="17" t="s">
        <v>230</v>
      </c>
      <c r="H47" s="18" t="s">
        <v>231</v>
      </c>
    </row>
    <row r="48" customFormat="false" ht="13.5" hidden="false" customHeight="true" outlineLevel="0" collapsed="false">
      <c r="A48" s="16" t="s">
        <v>50</v>
      </c>
      <c r="B48" s="17" t="s">
        <v>133</v>
      </c>
      <c r="C48" s="17" t="s">
        <v>134</v>
      </c>
      <c r="D48" s="17" t="s">
        <v>232</v>
      </c>
      <c r="E48" s="16" t="s">
        <v>136</v>
      </c>
      <c r="F48" s="17" t="s">
        <v>137</v>
      </c>
      <c r="G48" s="17" t="s">
        <v>233</v>
      </c>
      <c r="H48" s="18" t="s">
        <v>234</v>
      </c>
    </row>
    <row r="49" customFormat="false" ht="13.5" hidden="false" customHeight="true" outlineLevel="0" collapsed="false">
      <c r="A49" s="16" t="s">
        <v>52</v>
      </c>
      <c r="B49" s="17" t="s">
        <v>116</v>
      </c>
      <c r="C49" s="17" t="s">
        <v>117</v>
      </c>
      <c r="D49" s="17" t="s">
        <v>118</v>
      </c>
      <c r="E49" s="16" t="s">
        <v>119</v>
      </c>
      <c r="F49" s="17" t="s">
        <v>188</v>
      </c>
      <c r="G49" s="17" t="s">
        <v>235</v>
      </c>
      <c r="H49" s="18" t="s">
        <v>236</v>
      </c>
    </row>
    <row r="50" customFormat="false" ht="13.5" hidden="false" customHeight="true" outlineLevel="0" collapsed="false">
      <c r="A50" s="16" t="s">
        <v>52</v>
      </c>
      <c r="B50" s="17" t="s">
        <v>237</v>
      </c>
      <c r="C50" s="17" t="s">
        <v>134</v>
      </c>
      <c r="D50" s="17" t="s">
        <v>238</v>
      </c>
      <c r="E50" s="16" t="s">
        <v>136</v>
      </c>
      <c r="F50" s="17" t="s">
        <v>137</v>
      </c>
      <c r="G50" s="17" t="s">
        <v>239</v>
      </c>
      <c r="H50" s="18" t="s">
        <v>240</v>
      </c>
    </row>
    <row r="51" customFormat="false" ht="13.5" hidden="false" customHeight="true" outlineLevel="0" collapsed="false">
      <c r="A51" s="16" t="s">
        <v>54</v>
      </c>
      <c r="B51" s="17" t="s">
        <v>116</v>
      </c>
      <c r="C51" s="17" t="s">
        <v>117</v>
      </c>
      <c r="D51" s="17" t="s">
        <v>118</v>
      </c>
      <c r="E51" s="16" t="s">
        <v>119</v>
      </c>
      <c r="F51" s="17" t="s">
        <v>188</v>
      </c>
      <c r="G51" s="17" t="s">
        <v>241</v>
      </c>
      <c r="H51" s="18" t="s">
        <v>242</v>
      </c>
    </row>
    <row r="52" customFormat="false" ht="13.5" hidden="false" customHeight="true" outlineLevel="0" collapsed="false">
      <c r="A52" s="16" t="s">
        <v>54</v>
      </c>
      <c r="B52" s="17" t="s">
        <v>169</v>
      </c>
      <c r="C52" s="17" t="s">
        <v>134</v>
      </c>
      <c r="D52" s="17" t="s">
        <v>243</v>
      </c>
      <c r="E52" s="16" t="s">
        <v>136</v>
      </c>
      <c r="F52" s="17" t="s">
        <v>137</v>
      </c>
      <c r="G52" s="17" t="s">
        <v>222</v>
      </c>
      <c r="H52" s="18" t="s">
        <v>244</v>
      </c>
    </row>
    <row r="53" customFormat="false" ht="13.5" hidden="false" customHeight="true" outlineLevel="0" collapsed="false">
      <c r="A53" s="16" t="s">
        <v>55</v>
      </c>
      <c r="B53" s="17" t="s">
        <v>116</v>
      </c>
      <c r="C53" s="17" t="s">
        <v>117</v>
      </c>
      <c r="D53" s="17" t="s">
        <v>118</v>
      </c>
      <c r="E53" s="16" t="s">
        <v>119</v>
      </c>
      <c r="F53" s="17" t="s">
        <v>188</v>
      </c>
      <c r="G53" s="17" t="s">
        <v>245</v>
      </c>
      <c r="H53" s="18" t="s">
        <v>246</v>
      </c>
    </row>
    <row r="54" customFormat="false" ht="13.5" hidden="false" customHeight="true" outlineLevel="0" collapsed="false">
      <c r="A54" s="16" t="s">
        <v>55</v>
      </c>
      <c r="B54" s="17" t="s">
        <v>133</v>
      </c>
      <c r="C54" s="17" t="s">
        <v>134</v>
      </c>
      <c r="D54" s="17" t="s">
        <v>247</v>
      </c>
      <c r="E54" s="16" t="s">
        <v>136</v>
      </c>
      <c r="F54" s="17" t="s">
        <v>137</v>
      </c>
      <c r="G54" s="17" t="s">
        <v>248</v>
      </c>
      <c r="H54" s="18" t="s">
        <v>249</v>
      </c>
    </row>
    <row r="55" customFormat="false" ht="13.5" hidden="false" customHeight="true" outlineLevel="0" collapsed="false">
      <c r="A55" s="16" t="s">
        <v>56</v>
      </c>
      <c r="B55" s="17" t="s">
        <v>116</v>
      </c>
      <c r="C55" s="17" t="s">
        <v>117</v>
      </c>
      <c r="D55" s="17" t="s">
        <v>118</v>
      </c>
      <c r="E55" s="16" t="s">
        <v>119</v>
      </c>
      <c r="F55" s="17" t="s">
        <v>188</v>
      </c>
      <c r="G55" s="17" t="s">
        <v>250</v>
      </c>
      <c r="H55" s="18" t="s">
        <v>251</v>
      </c>
    </row>
    <row r="56" customFormat="false" ht="13.5" hidden="false" customHeight="true" outlineLevel="0" collapsed="false">
      <c r="A56" s="16" t="s">
        <v>56</v>
      </c>
      <c r="B56" s="17" t="s">
        <v>252</v>
      </c>
      <c r="C56" s="17" t="s">
        <v>134</v>
      </c>
      <c r="D56" s="17" t="s">
        <v>253</v>
      </c>
      <c r="E56" s="16" t="s">
        <v>254</v>
      </c>
      <c r="F56" s="17" t="s">
        <v>137</v>
      </c>
      <c r="G56" s="17" t="s">
        <v>255</v>
      </c>
      <c r="H56" s="18" t="s">
        <v>256</v>
      </c>
    </row>
    <row r="57" customFormat="false" ht="13.5" hidden="false" customHeight="true" outlineLevel="0" collapsed="false">
      <c r="A57" s="16" t="s">
        <v>58</v>
      </c>
      <c r="B57" s="17" t="s">
        <v>116</v>
      </c>
      <c r="C57" s="17" t="s">
        <v>117</v>
      </c>
      <c r="D57" s="17" t="s">
        <v>118</v>
      </c>
      <c r="E57" s="16" t="s">
        <v>119</v>
      </c>
      <c r="F57" s="17" t="s">
        <v>257</v>
      </c>
      <c r="G57" s="17" t="s">
        <v>258</v>
      </c>
      <c r="H57" s="18" t="s">
        <v>259</v>
      </c>
    </row>
    <row r="58" customFormat="false" ht="13.5" hidden="false" customHeight="true" outlineLevel="0" collapsed="false">
      <c r="A58" s="16" t="s">
        <v>58</v>
      </c>
      <c r="B58" s="17" t="s">
        <v>133</v>
      </c>
      <c r="C58" s="17" t="s">
        <v>134</v>
      </c>
      <c r="D58" s="17" t="s">
        <v>260</v>
      </c>
      <c r="E58" s="16" t="s">
        <v>136</v>
      </c>
      <c r="F58" s="17" t="s">
        <v>137</v>
      </c>
      <c r="G58" s="17" t="s">
        <v>248</v>
      </c>
      <c r="H58" s="18" t="s">
        <v>261</v>
      </c>
    </row>
    <row r="59" customFormat="false" ht="13.5" hidden="false" customHeight="true" outlineLevel="0" collapsed="false">
      <c r="A59" s="16" t="s">
        <v>59</v>
      </c>
      <c r="B59" s="17" t="s">
        <v>116</v>
      </c>
      <c r="C59" s="17" t="s">
        <v>117</v>
      </c>
      <c r="D59" s="17" t="s">
        <v>118</v>
      </c>
      <c r="E59" s="16" t="s">
        <v>119</v>
      </c>
      <c r="F59" s="17" t="s">
        <v>188</v>
      </c>
      <c r="G59" s="17" t="s">
        <v>262</v>
      </c>
      <c r="H59" s="18" t="s">
        <v>263</v>
      </c>
    </row>
    <row r="60" customFormat="false" ht="13.5" hidden="false" customHeight="true" outlineLevel="0" collapsed="false">
      <c r="A60" s="16" t="s">
        <v>59</v>
      </c>
      <c r="B60" s="17" t="s">
        <v>264</v>
      </c>
      <c r="C60" s="17" t="s">
        <v>134</v>
      </c>
      <c r="D60" s="17" t="s">
        <v>118</v>
      </c>
      <c r="E60" s="16" t="s">
        <v>265</v>
      </c>
      <c r="F60" s="17" t="s">
        <v>266</v>
      </c>
      <c r="G60" s="17" t="s">
        <v>267</v>
      </c>
      <c r="H60" s="18" t="s">
        <v>268</v>
      </c>
    </row>
    <row r="61" customFormat="false" ht="13.5" hidden="false" customHeight="true" outlineLevel="0" collapsed="false">
      <c r="A61" s="16" t="s">
        <v>61</v>
      </c>
      <c r="B61" s="17" t="s">
        <v>116</v>
      </c>
      <c r="C61" s="17" t="s">
        <v>117</v>
      </c>
      <c r="D61" s="17" t="s">
        <v>118</v>
      </c>
      <c r="E61" s="16" t="s">
        <v>119</v>
      </c>
      <c r="F61" s="17" t="s">
        <v>188</v>
      </c>
      <c r="G61" s="17" t="s">
        <v>250</v>
      </c>
      <c r="H61" s="18" t="s">
        <v>269</v>
      </c>
    </row>
    <row r="62" customFormat="false" ht="13.5" hidden="false" customHeight="true" outlineLevel="0" collapsed="false">
      <c r="A62" s="19" t="s">
        <v>61</v>
      </c>
      <c r="B62" s="20" t="s">
        <v>270</v>
      </c>
      <c r="C62" s="20" t="s">
        <v>134</v>
      </c>
      <c r="D62" s="20" t="s">
        <v>271</v>
      </c>
      <c r="E62" s="19" t="s">
        <v>136</v>
      </c>
      <c r="F62" s="20" t="s">
        <v>137</v>
      </c>
      <c r="G62" s="20" t="s">
        <v>272</v>
      </c>
      <c r="H62" s="21" t="s">
        <v>273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6"/>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C6" activeCellId="0" sqref="C6"/>
    </sheetView>
  </sheetViews>
  <sheetFormatPr defaultColWidth="8.83203125" defaultRowHeight="13.5" zeroHeight="false" outlineLevelRow="0" outlineLevelCol="0"/>
  <cols>
    <col collapsed="false" customWidth="true" hidden="false" outlineLevel="0" max="1" min="1" style="1" width="20"/>
    <col collapsed="false" customWidth="true" hidden="false" outlineLevel="0" max="2" min="2" style="1" width="13"/>
    <col collapsed="false" customWidth="true" hidden="false" outlineLevel="0" max="3" min="3" style="1" width="31"/>
    <col collapsed="false" customWidth="true" hidden="false" outlineLevel="0" max="4" min="4" style="1" width="21"/>
    <col collapsed="false" customWidth="true" hidden="false" outlineLevel="0" max="5" min="5" style="1" width="38"/>
    <col collapsed="false" customWidth="true" hidden="false" outlineLevel="0" max="6" min="6" style="1" width="40"/>
    <col collapsed="false" customWidth="true" hidden="false" outlineLevel="0" max="7" min="7" style="1" width="42"/>
  </cols>
  <sheetData>
    <row r="1" customFormat="false" ht="13.5" hidden="false" customHeight="true" outlineLevel="0" collapsed="false">
      <c r="A1" s="22" t="s">
        <v>0</v>
      </c>
      <c r="B1" s="22" t="s">
        <v>274</v>
      </c>
      <c r="C1" s="22" t="s">
        <v>275</v>
      </c>
      <c r="D1" s="22" t="s">
        <v>276</v>
      </c>
      <c r="E1" s="22" t="s">
        <v>277</v>
      </c>
      <c r="F1" s="22" t="s">
        <v>278</v>
      </c>
      <c r="G1" s="22" t="s">
        <v>73</v>
      </c>
    </row>
    <row r="2" customFormat="false" ht="22.5" hidden="false" customHeight="true" outlineLevel="0" collapsed="false">
      <c r="A2" s="23" t="s">
        <v>13</v>
      </c>
      <c r="B2" s="24" t="s">
        <v>279</v>
      </c>
      <c r="C2" s="24" t="s">
        <v>280</v>
      </c>
      <c r="D2" s="24" t="s">
        <v>281</v>
      </c>
      <c r="E2" s="24" t="s">
        <v>282</v>
      </c>
      <c r="F2" s="24" t="s">
        <v>283</v>
      </c>
      <c r="G2" s="25" t="s">
        <v>284</v>
      </c>
    </row>
    <row r="3" customFormat="false" ht="30" hidden="false" customHeight="true" outlineLevel="0" collapsed="false">
      <c r="A3" s="9" t="s">
        <v>13</v>
      </c>
      <c r="B3" s="9" t="s">
        <v>279</v>
      </c>
      <c r="C3" s="9" t="s">
        <v>285</v>
      </c>
      <c r="D3" s="9" t="s">
        <v>286</v>
      </c>
      <c r="E3" s="9" t="s">
        <v>287</v>
      </c>
      <c r="F3" s="9" t="s">
        <v>288</v>
      </c>
      <c r="G3" s="26" t="s">
        <v>289</v>
      </c>
    </row>
    <row r="4" customFormat="false" ht="22.5" hidden="false" customHeight="true" outlineLevel="0" collapsed="false">
      <c r="A4" s="9" t="s">
        <v>13</v>
      </c>
      <c r="B4" s="9" t="s">
        <v>290</v>
      </c>
      <c r="C4" s="9" t="s">
        <v>291</v>
      </c>
      <c r="D4" s="9" t="s">
        <v>292</v>
      </c>
      <c r="E4" s="9" t="s">
        <v>293</v>
      </c>
      <c r="F4" s="9" t="s">
        <v>294</v>
      </c>
      <c r="G4" s="26" t="s">
        <v>295</v>
      </c>
    </row>
    <row r="5" customFormat="false" ht="30" hidden="false" customHeight="true" outlineLevel="0" collapsed="false">
      <c r="A5" s="9" t="s">
        <v>13</v>
      </c>
      <c r="B5" s="9" t="s">
        <v>296</v>
      </c>
      <c r="C5" s="9" t="s">
        <v>297</v>
      </c>
      <c r="D5" s="9" t="s">
        <v>298</v>
      </c>
      <c r="E5" s="9" t="s">
        <v>299</v>
      </c>
      <c r="F5" s="9" t="s">
        <v>300</v>
      </c>
      <c r="G5" s="26" t="s">
        <v>301</v>
      </c>
    </row>
    <row r="6" customFormat="false" ht="30" hidden="false" customHeight="true" outlineLevel="0" collapsed="false">
      <c r="A6" s="9" t="s">
        <v>13</v>
      </c>
      <c r="B6" s="9" t="s">
        <v>302</v>
      </c>
      <c r="C6" s="9" t="s">
        <v>303</v>
      </c>
      <c r="D6" s="9" t="s">
        <v>304</v>
      </c>
      <c r="E6" s="9" t="s">
        <v>305</v>
      </c>
      <c r="F6" s="9" t="s">
        <v>306</v>
      </c>
      <c r="G6" s="26" t="s">
        <v>307</v>
      </c>
    </row>
    <row r="7" customFormat="false" ht="22.5" hidden="false" customHeight="true" outlineLevel="0" collapsed="false">
      <c r="A7" s="9" t="s">
        <v>13</v>
      </c>
      <c r="B7" s="9" t="s">
        <v>308</v>
      </c>
      <c r="C7" s="9" t="s">
        <v>309</v>
      </c>
      <c r="D7" s="9" t="s">
        <v>310</v>
      </c>
      <c r="E7" s="9" t="s">
        <v>311</v>
      </c>
      <c r="F7" s="9" t="s">
        <v>312</v>
      </c>
      <c r="G7" s="26" t="s">
        <v>313</v>
      </c>
    </row>
    <row r="8" customFormat="false" ht="22.5" hidden="false" customHeight="true" outlineLevel="0" collapsed="false">
      <c r="A8" s="9" t="s">
        <v>13</v>
      </c>
      <c r="B8" s="9" t="s">
        <v>302</v>
      </c>
      <c r="C8" s="9" t="s">
        <v>314</v>
      </c>
      <c r="D8" s="9" t="s">
        <v>315</v>
      </c>
      <c r="E8" s="9" t="s">
        <v>316</v>
      </c>
      <c r="F8" s="9" t="s">
        <v>317</v>
      </c>
      <c r="G8" s="26" t="s">
        <v>318</v>
      </c>
    </row>
    <row r="9" customFormat="false" ht="22.5" hidden="false" customHeight="true" outlineLevel="0" collapsed="false">
      <c r="A9" s="9" t="s">
        <v>13</v>
      </c>
      <c r="B9" s="9" t="s">
        <v>290</v>
      </c>
      <c r="C9" s="9" t="s">
        <v>319</v>
      </c>
      <c r="D9" s="9" t="s">
        <v>320</v>
      </c>
      <c r="E9" s="9" t="s">
        <v>321</v>
      </c>
      <c r="F9" s="9" t="s">
        <v>322</v>
      </c>
      <c r="G9" s="26" t="s">
        <v>323</v>
      </c>
    </row>
    <row r="10" customFormat="false" ht="22.5" hidden="false" customHeight="true" outlineLevel="0" collapsed="false">
      <c r="A10" s="9" t="s">
        <v>13</v>
      </c>
      <c r="B10" s="9" t="s">
        <v>324</v>
      </c>
      <c r="C10" s="9" t="s">
        <v>325</v>
      </c>
      <c r="D10" s="9" t="s">
        <v>326</v>
      </c>
      <c r="E10" s="9" t="s">
        <v>327</v>
      </c>
      <c r="F10" s="9" t="s">
        <v>328</v>
      </c>
      <c r="G10" s="26" t="s">
        <v>329</v>
      </c>
    </row>
    <row r="11" customFormat="false" ht="22.5" hidden="false" customHeight="true" outlineLevel="0" collapsed="false">
      <c r="A11" s="9" t="s">
        <v>13</v>
      </c>
      <c r="B11" s="9" t="s">
        <v>330</v>
      </c>
      <c r="C11" s="9" t="s">
        <v>331</v>
      </c>
      <c r="D11" s="9" t="s">
        <v>332</v>
      </c>
      <c r="E11" s="9" t="s">
        <v>333</v>
      </c>
      <c r="F11" s="9" t="s">
        <v>334</v>
      </c>
      <c r="G11" s="26" t="s">
        <v>335</v>
      </c>
    </row>
    <row r="12" customFormat="false" ht="22.5" hidden="false" customHeight="true" outlineLevel="0" collapsed="false">
      <c r="A12" s="9" t="s">
        <v>13</v>
      </c>
      <c r="B12" s="9" t="s">
        <v>336</v>
      </c>
      <c r="C12" s="9" t="s">
        <v>337</v>
      </c>
      <c r="D12" s="9" t="s">
        <v>338</v>
      </c>
      <c r="E12" s="9" t="s">
        <v>339</v>
      </c>
      <c r="F12" s="9" t="s">
        <v>340</v>
      </c>
      <c r="G12" s="26" t="s">
        <v>341</v>
      </c>
    </row>
    <row r="13" customFormat="false" ht="22.5" hidden="false" customHeight="true" outlineLevel="0" collapsed="false">
      <c r="A13" s="9" t="s">
        <v>13</v>
      </c>
      <c r="B13" s="9" t="s">
        <v>342</v>
      </c>
      <c r="C13" s="9" t="s">
        <v>343</v>
      </c>
      <c r="D13" s="9" t="s">
        <v>344</v>
      </c>
      <c r="E13" s="9" t="s">
        <v>345</v>
      </c>
      <c r="F13" s="9" t="s">
        <v>346</v>
      </c>
      <c r="G13" s="26" t="s">
        <v>347</v>
      </c>
    </row>
    <row r="14" customFormat="false" ht="22.5" hidden="false" customHeight="true" outlineLevel="0" collapsed="false">
      <c r="A14" s="9" t="s">
        <v>13</v>
      </c>
      <c r="B14" s="9" t="s">
        <v>348</v>
      </c>
      <c r="C14" s="9" t="s">
        <v>349</v>
      </c>
      <c r="D14" s="9" t="s">
        <v>350</v>
      </c>
      <c r="E14" s="9" t="s">
        <v>351</v>
      </c>
      <c r="F14" s="9" t="s">
        <v>352</v>
      </c>
      <c r="G14" s="26" t="s">
        <v>353</v>
      </c>
    </row>
    <row r="15" customFormat="false" ht="22.5" hidden="false" customHeight="true" outlineLevel="0" collapsed="false">
      <c r="A15" s="9" t="s">
        <v>13</v>
      </c>
      <c r="B15" s="9" t="s">
        <v>354</v>
      </c>
      <c r="C15" s="9" t="s">
        <v>355</v>
      </c>
      <c r="D15" s="9" t="s">
        <v>326</v>
      </c>
      <c r="E15" s="9" t="s">
        <v>356</v>
      </c>
      <c r="F15" s="9" t="s">
        <v>357</v>
      </c>
      <c r="G15" s="26" t="s">
        <v>358</v>
      </c>
    </row>
    <row r="16" customFormat="false" ht="22.5" hidden="false" customHeight="true" outlineLevel="0" collapsed="false">
      <c r="A16" s="9" t="s">
        <v>13</v>
      </c>
      <c r="B16" s="9" t="s">
        <v>359</v>
      </c>
      <c r="C16" s="9" t="s">
        <v>360</v>
      </c>
      <c r="D16" s="9" t="s">
        <v>361</v>
      </c>
      <c r="E16" s="9" t="s">
        <v>362</v>
      </c>
      <c r="F16" s="9" t="s">
        <v>363</v>
      </c>
      <c r="G16" s="26" t="s">
        <v>364</v>
      </c>
    </row>
    <row r="17" customFormat="false" ht="22.5" hidden="false" customHeight="true" outlineLevel="0" collapsed="false">
      <c r="A17" s="9" t="s">
        <v>13</v>
      </c>
      <c r="B17" s="9" t="s">
        <v>365</v>
      </c>
      <c r="C17" s="9" t="s">
        <v>366</v>
      </c>
      <c r="D17" s="9" t="s">
        <v>367</v>
      </c>
      <c r="E17" s="9" t="s">
        <v>368</v>
      </c>
      <c r="F17" s="9" t="s">
        <v>369</v>
      </c>
      <c r="G17" s="26" t="s">
        <v>370</v>
      </c>
    </row>
    <row r="18" customFormat="false" ht="22.5" hidden="false" customHeight="true" outlineLevel="0" collapsed="false">
      <c r="A18" s="9" t="s">
        <v>13</v>
      </c>
      <c r="B18" s="9" t="s">
        <v>371</v>
      </c>
      <c r="C18" s="9" t="s">
        <v>372</v>
      </c>
      <c r="D18" s="9" t="s">
        <v>298</v>
      </c>
      <c r="E18" s="9" t="s">
        <v>373</v>
      </c>
      <c r="F18" s="9" t="s">
        <v>374</v>
      </c>
      <c r="G18" s="26" t="s">
        <v>375</v>
      </c>
    </row>
    <row r="19" customFormat="false" ht="22.5" hidden="false" customHeight="true" outlineLevel="0" collapsed="false">
      <c r="A19" s="9" t="s">
        <v>13</v>
      </c>
      <c r="B19" s="9" t="s">
        <v>376</v>
      </c>
      <c r="C19" s="9" t="s">
        <v>303</v>
      </c>
      <c r="D19" s="9" t="s">
        <v>304</v>
      </c>
      <c r="E19" s="9" t="s">
        <v>377</v>
      </c>
      <c r="F19" s="9" t="s">
        <v>378</v>
      </c>
      <c r="G19" s="26" t="s">
        <v>379</v>
      </c>
    </row>
    <row r="20" customFormat="false" ht="22.5" hidden="false" customHeight="true" outlineLevel="0" collapsed="false">
      <c r="A20" s="9" t="s">
        <v>13</v>
      </c>
      <c r="B20" s="9" t="s">
        <v>380</v>
      </c>
      <c r="C20" s="9" t="s">
        <v>381</v>
      </c>
      <c r="D20" s="9" t="s">
        <v>350</v>
      </c>
      <c r="E20" s="9" t="s">
        <v>382</v>
      </c>
      <c r="F20" s="9" t="s">
        <v>383</v>
      </c>
      <c r="G20" s="26" t="s">
        <v>318</v>
      </c>
    </row>
    <row r="21" customFormat="false" ht="22.5" hidden="false" customHeight="true" outlineLevel="0" collapsed="false">
      <c r="A21" s="9" t="s">
        <v>13</v>
      </c>
      <c r="B21" s="9" t="s">
        <v>384</v>
      </c>
      <c r="C21" s="9" t="s">
        <v>385</v>
      </c>
      <c r="D21" s="9" t="s">
        <v>326</v>
      </c>
      <c r="E21" s="9" t="s">
        <v>386</v>
      </c>
      <c r="F21" s="9" t="s">
        <v>387</v>
      </c>
      <c r="G21" s="26" t="s">
        <v>388</v>
      </c>
    </row>
    <row r="22" customFormat="false" ht="22.5" hidden="false" customHeight="true" outlineLevel="0" collapsed="false">
      <c r="A22" s="9" t="s">
        <v>13</v>
      </c>
      <c r="B22" s="9" t="s">
        <v>389</v>
      </c>
      <c r="C22" s="9" t="s">
        <v>390</v>
      </c>
      <c r="D22" s="9" t="s">
        <v>391</v>
      </c>
      <c r="E22" s="9" t="s">
        <v>392</v>
      </c>
      <c r="F22" s="9" t="s">
        <v>393</v>
      </c>
      <c r="G22" s="26" t="s">
        <v>394</v>
      </c>
    </row>
    <row r="23" customFormat="false" ht="22.5" hidden="false" customHeight="true" outlineLevel="0" collapsed="false">
      <c r="A23" s="9" t="s">
        <v>13</v>
      </c>
      <c r="B23" s="9" t="s">
        <v>395</v>
      </c>
      <c r="C23" s="9" t="s">
        <v>396</v>
      </c>
      <c r="D23" s="9" t="s">
        <v>286</v>
      </c>
      <c r="E23" s="9" t="s">
        <v>397</v>
      </c>
      <c r="F23" s="9" t="s">
        <v>398</v>
      </c>
      <c r="G23" s="26" t="s">
        <v>399</v>
      </c>
    </row>
    <row r="24" customFormat="false" ht="22.5" hidden="false" customHeight="true" outlineLevel="0" collapsed="false">
      <c r="A24" s="9" t="s">
        <v>13</v>
      </c>
      <c r="B24" s="9" t="s">
        <v>395</v>
      </c>
      <c r="C24" s="9" t="s">
        <v>400</v>
      </c>
      <c r="D24" s="9" t="s">
        <v>401</v>
      </c>
      <c r="E24" s="9" t="s">
        <v>402</v>
      </c>
      <c r="F24" s="9" t="s">
        <v>403</v>
      </c>
      <c r="G24" s="26" t="s">
        <v>404</v>
      </c>
    </row>
    <row r="25" customFormat="false" ht="30" hidden="false" customHeight="true" outlineLevel="0" collapsed="false">
      <c r="A25" s="9" t="s">
        <v>13</v>
      </c>
      <c r="B25" s="9" t="s">
        <v>405</v>
      </c>
      <c r="C25" s="9" t="s">
        <v>406</v>
      </c>
      <c r="D25" s="9" t="s">
        <v>298</v>
      </c>
      <c r="E25" s="9" t="s">
        <v>407</v>
      </c>
      <c r="F25" s="9" t="s">
        <v>408</v>
      </c>
      <c r="G25" s="26" t="s">
        <v>323</v>
      </c>
    </row>
    <row r="26" customFormat="false" ht="30" hidden="false" customHeight="true" outlineLevel="0" collapsed="false">
      <c r="A26" s="9" t="s">
        <v>13</v>
      </c>
      <c r="B26" s="9" t="s">
        <v>409</v>
      </c>
      <c r="C26" s="9" t="s">
        <v>410</v>
      </c>
      <c r="D26" s="9" t="s">
        <v>411</v>
      </c>
      <c r="E26" s="9" t="s">
        <v>412</v>
      </c>
      <c r="F26" s="9" t="s">
        <v>413</v>
      </c>
      <c r="G26" s="26" t="s">
        <v>414</v>
      </c>
    </row>
    <row r="27" customFormat="false" ht="30" hidden="false" customHeight="true" outlineLevel="0" collapsed="false">
      <c r="A27" s="9" t="s">
        <v>13</v>
      </c>
      <c r="B27" s="9" t="s">
        <v>279</v>
      </c>
      <c r="C27" s="9" t="s">
        <v>415</v>
      </c>
      <c r="D27" s="9" t="s">
        <v>416</v>
      </c>
      <c r="E27" s="9" t="s">
        <v>417</v>
      </c>
      <c r="F27" s="9" t="s">
        <v>418</v>
      </c>
      <c r="G27" s="26" t="s">
        <v>419</v>
      </c>
    </row>
    <row r="28" customFormat="false" ht="22.5" hidden="false" customHeight="true" outlineLevel="0" collapsed="false">
      <c r="A28" s="9" t="s">
        <v>17</v>
      </c>
      <c r="B28" s="9" t="s">
        <v>279</v>
      </c>
      <c r="C28" s="9" t="s">
        <v>420</v>
      </c>
      <c r="D28" s="9" t="s">
        <v>338</v>
      </c>
      <c r="E28" s="9" t="s">
        <v>421</v>
      </c>
      <c r="F28" s="9" t="s">
        <v>422</v>
      </c>
      <c r="G28" s="26" t="s">
        <v>423</v>
      </c>
    </row>
    <row r="29" customFormat="false" ht="22.5" hidden="false" customHeight="true" outlineLevel="0" collapsed="false">
      <c r="A29" s="9" t="s">
        <v>17</v>
      </c>
      <c r="B29" s="9" t="s">
        <v>279</v>
      </c>
      <c r="C29" s="9" t="s">
        <v>424</v>
      </c>
      <c r="D29" s="9" t="s">
        <v>425</v>
      </c>
      <c r="E29" s="9" t="s">
        <v>426</v>
      </c>
      <c r="F29" s="9" t="s">
        <v>427</v>
      </c>
      <c r="G29" s="26" t="s">
        <v>423</v>
      </c>
    </row>
    <row r="30" customFormat="false" ht="22.5" hidden="false" customHeight="true" outlineLevel="0" collapsed="false">
      <c r="A30" s="9" t="s">
        <v>17</v>
      </c>
      <c r="B30" s="9" t="s">
        <v>428</v>
      </c>
      <c r="C30" s="9" t="s">
        <v>429</v>
      </c>
      <c r="D30" s="9" t="s">
        <v>430</v>
      </c>
      <c r="E30" s="9" t="s">
        <v>431</v>
      </c>
      <c r="F30" s="9" t="s">
        <v>432</v>
      </c>
      <c r="G30" s="26" t="s">
        <v>433</v>
      </c>
    </row>
    <row r="31" customFormat="false" ht="30" hidden="false" customHeight="true" outlineLevel="0" collapsed="false">
      <c r="A31" s="9" t="s">
        <v>17</v>
      </c>
      <c r="B31" s="9" t="s">
        <v>302</v>
      </c>
      <c r="C31" s="9" t="s">
        <v>434</v>
      </c>
      <c r="D31" s="9" t="s">
        <v>425</v>
      </c>
      <c r="E31" s="9" t="s">
        <v>435</v>
      </c>
      <c r="F31" s="9" t="s">
        <v>436</v>
      </c>
      <c r="G31" s="26" t="s">
        <v>437</v>
      </c>
    </row>
    <row r="32" customFormat="false" ht="22.5" hidden="false" customHeight="true" outlineLevel="0" collapsed="false">
      <c r="A32" s="9" t="s">
        <v>17</v>
      </c>
      <c r="B32" s="9" t="s">
        <v>438</v>
      </c>
      <c r="C32" s="9" t="s">
        <v>439</v>
      </c>
      <c r="D32" s="9" t="s">
        <v>440</v>
      </c>
      <c r="E32" s="9" t="s">
        <v>441</v>
      </c>
      <c r="F32" s="9" t="s">
        <v>442</v>
      </c>
      <c r="G32" s="26" t="s">
        <v>443</v>
      </c>
    </row>
    <row r="33" customFormat="false" ht="22.5" hidden="false" customHeight="true" outlineLevel="0" collapsed="false">
      <c r="A33" s="9" t="s">
        <v>17</v>
      </c>
      <c r="B33" s="9" t="s">
        <v>438</v>
      </c>
      <c r="C33" s="9" t="s">
        <v>444</v>
      </c>
      <c r="D33" s="9" t="s">
        <v>445</v>
      </c>
      <c r="E33" s="9" t="s">
        <v>446</v>
      </c>
      <c r="F33" s="9" t="s">
        <v>447</v>
      </c>
      <c r="G33" s="26" t="s">
        <v>448</v>
      </c>
    </row>
    <row r="34" customFormat="false" ht="22.5" hidden="false" customHeight="true" outlineLevel="0" collapsed="false">
      <c r="A34" s="9" t="s">
        <v>17</v>
      </c>
      <c r="B34" s="9" t="s">
        <v>438</v>
      </c>
      <c r="C34" s="9" t="s">
        <v>449</v>
      </c>
      <c r="D34" s="9" t="s">
        <v>450</v>
      </c>
      <c r="E34" s="9" t="s">
        <v>451</v>
      </c>
      <c r="F34" s="9" t="s">
        <v>452</v>
      </c>
      <c r="G34" s="26" t="s">
        <v>453</v>
      </c>
    </row>
    <row r="35" customFormat="false" ht="22.5" hidden="false" customHeight="true" outlineLevel="0" collapsed="false">
      <c r="A35" s="9" t="s">
        <v>17</v>
      </c>
      <c r="B35" s="9" t="s">
        <v>454</v>
      </c>
      <c r="C35" s="9" t="s">
        <v>455</v>
      </c>
      <c r="D35" s="9" t="s">
        <v>456</v>
      </c>
      <c r="E35" s="9" t="s">
        <v>457</v>
      </c>
      <c r="F35" s="9" t="s">
        <v>458</v>
      </c>
      <c r="G35" s="26" t="s">
        <v>459</v>
      </c>
    </row>
    <row r="36" customFormat="false" ht="30" hidden="false" customHeight="true" outlineLevel="0" collapsed="false">
      <c r="A36" s="9" t="s">
        <v>7</v>
      </c>
      <c r="B36" s="9" t="s">
        <v>290</v>
      </c>
      <c r="C36" s="9" t="s">
        <v>460</v>
      </c>
      <c r="D36" s="9" t="s">
        <v>461</v>
      </c>
      <c r="E36" s="9" t="s">
        <v>462</v>
      </c>
      <c r="F36" s="9" t="s">
        <v>463</v>
      </c>
      <c r="G36" s="26" t="s">
        <v>464</v>
      </c>
    </row>
    <row r="37" customFormat="false" ht="22.5" hidden="false" customHeight="true" outlineLevel="0" collapsed="false">
      <c r="A37" s="9" t="s">
        <v>7</v>
      </c>
      <c r="B37" s="9" t="s">
        <v>428</v>
      </c>
      <c r="C37" s="9" t="s">
        <v>465</v>
      </c>
      <c r="D37" s="9" t="s">
        <v>466</v>
      </c>
      <c r="E37" s="9" t="s">
        <v>467</v>
      </c>
      <c r="F37" s="9" t="s">
        <v>468</v>
      </c>
      <c r="G37" s="26" t="s">
        <v>469</v>
      </c>
    </row>
    <row r="38" customFormat="false" ht="22.5" hidden="false" customHeight="true" outlineLevel="0" collapsed="false">
      <c r="A38" s="9" t="s">
        <v>7</v>
      </c>
      <c r="B38" s="9" t="s">
        <v>428</v>
      </c>
      <c r="C38" s="9" t="s">
        <v>470</v>
      </c>
      <c r="D38" s="9" t="s">
        <v>471</v>
      </c>
      <c r="E38" s="9" t="s">
        <v>472</v>
      </c>
      <c r="F38" s="9" t="s">
        <v>473</v>
      </c>
      <c r="G38" s="26" t="s">
        <v>474</v>
      </c>
    </row>
    <row r="39" customFormat="false" ht="22.5" hidden="false" customHeight="true" outlineLevel="0" collapsed="false">
      <c r="A39" s="9" t="s">
        <v>7</v>
      </c>
      <c r="B39" s="9" t="s">
        <v>290</v>
      </c>
      <c r="C39" s="9" t="s">
        <v>475</v>
      </c>
      <c r="D39" s="9" t="s">
        <v>476</v>
      </c>
      <c r="E39" s="9" t="s">
        <v>477</v>
      </c>
      <c r="F39" s="9" t="s">
        <v>478</v>
      </c>
      <c r="G39" s="26" t="s">
        <v>479</v>
      </c>
    </row>
    <row r="40" customFormat="false" ht="22.5" hidden="false" customHeight="true" outlineLevel="0" collapsed="false">
      <c r="A40" s="9" t="s">
        <v>7</v>
      </c>
      <c r="B40" s="9" t="s">
        <v>290</v>
      </c>
      <c r="C40" s="9" t="s">
        <v>480</v>
      </c>
      <c r="D40" s="9" t="s">
        <v>481</v>
      </c>
      <c r="E40" s="9" t="s">
        <v>482</v>
      </c>
      <c r="F40" s="9" t="s">
        <v>483</v>
      </c>
      <c r="G40" s="26" t="s">
        <v>484</v>
      </c>
    </row>
    <row r="41" customFormat="false" ht="22.5" hidden="false" customHeight="true" outlineLevel="0" collapsed="false">
      <c r="A41" s="9" t="s">
        <v>7</v>
      </c>
      <c r="B41" s="9" t="s">
        <v>438</v>
      </c>
      <c r="C41" s="9" t="s">
        <v>485</v>
      </c>
      <c r="D41" s="9" t="s">
        <v>486</v>
      </c>
      <c r="E41" s="9" t="s">
        <v>487</v>
      </c>
      <c r="F41" s="9" t="s">
        <v>488</v>
      </c>
      <c r="G41" s="26" t="s">
        <v>489</v>
      </c>
    </row>
    <row r="42" customFormat="false" ht="30" hidden="false" customHeight="true" outlineLevel="0" collapsed="false">
      <c r="A42" s="9" t="s">
        <v>7</v>
      </c>
      <c r="B42" s="9" t="s">
        <v>290</v>
      </c>
      <c r="C42" s="9" t="s">
        <v>490</v>
      </c>
      <c r="D42" s="9" t="s">
        <v>491</v>
      </c>
      <c r="E42" s="9" t="s">
        <v>492</v>
      </c>
      <c r="F42" s="9" t="s">
        <v>493</v>
      </c>
      <c r="G42" s="26" t="s">
        <v>494</v>
      </c>
    </row>
    <row r="43" customFormat="false" ht="22.5" hidden="false" customHeight="true" outlineLevel="0" collapsed="false">
      <c r="A43" s="9" t="s">
        <v>7</v>
      </c>
      <c r="B43" s="9" t="s">
        <v>290</v>
      </c>
      <c r="C43" s="9" t="s">
        <v>495</v>
      </c>
      <c r="D43" s="9" t="s">
        <v>496</v>
      </c>
      <c r="E43" s="9" t="s">
        <v>497</v>
      </c>
      <c r="F43" s="9" t="s">
        <v>498</v>
      </c>
      <c r="G43" s="26" t="s">
        <v>499</v>
      </c>
    </row>
    <row r="44" customFormat="false" ht="22.5" hidden="false" customHeight="true" outlineLevel="0" collapsed="false">
      <c r="A44" s="9" t="s">
        <v>7</v>
      </c>
      <c r="B44" s="9" t="s">
        <v>290</v>
      </c>
      <c r="C44" s="9" t="s">
        <v>500</v>
      </c>
      <c r="D44" s="9" t="s">
        <v>501</v>
      </c>
      <c r="E44" s="9" t="s">
        <v>502</v>
      </c>
      <c r="F44" s="9" t="s">
        <v>503</v>
      </c>
      <c r="G44" s="26" t="s">
        <v>504</v>
      </c>
    </row>
    <row r="45" customFormat="false" ht="22.5" hidden="false" customHeight="true" outlineLevel="0" collapsed="false">
      <c r="A45" s="9" t="s">
        <v>7</v>
      </c>
      <c r="B45" s="9" t="s">
        <v>505</v>
      </c>
      <c r="C45" s="9" t="s">
        <v>506</v>
      </c>
      <c r="D45" s="9" t="s">
        <v>507</v>
      </c>
      <c r="E45" s="9" t="s">
        <v>508</v>
      </c>
      <c r="F45" s="9" t="s">
        <v>509</v>
      </c>
      <c r="G45" s="26" t="s">
        <v>510</v>
      </c>
    </row>
    <row r="46" customFormat="false" ht="22.5" hidden="false" customHeight="true" outlineLevel="0" collapsed="false">
      <c r="A46" s="9" t="s">
        <v>7</v>
      </c>
      <c r="B46" s="9" t="s">
        <v>511</v>
      </c>
      <c r="C46" s="9" t="s">
        <v>512</v>
      </c>
      <c r="D46" s="9" t="s">
        <v>361</v>
      </c>
      <c r="E46" s="9" t="s">
        <v>513</v>
      </c>
      <c r="F46" s="9" t="s">
        <v>514</v>
      </c>
      <c r="G46" s="26" t="s">
        <v>515</v>
      </c>
    </row>
    <row r="47" customFormat="false" ht="22.5" hidden="false" customHeight="true" outlineLevel="0" collapsed="false">
      <c r="A47" s="9" t="s">
        <v>7</v>
      </c>
      <c r="B47" s="9" t="s">
        <v>516</v>
      </c>
      <c r="C47" s="9" t="s">
        <v>517</v>
      </c>
      <c r="D47" s="9" t="s">
        <v>326</v>
      </c>
      <c r="E47" s="9" t="s">
        <v>518</v>
      </c>
      <c r="F47" s="9" t="s">
        <v>519</v>
      </c>
      <c r="G47" s="26" t="s">
        <v>520</v>
      </c>
    </row>
    <row r="48" customFormat="false" ht="22.5" hidden="false" customHeight="true" outlineLevel="0" collapsed="false">
      <c r="A48" s="9" t="s">
        <v>7</v>
      </c>
      <c r="B48" s="9" t="s">
        <v>389</v>
      </c>
      <c r="C48" s="9" t="s">
        <v>470</v>
      </c>
      <c r="D48" s="9" t="s">
        <v>344</v>
      </c>
      <c r="E48" s="9" t="s">
        <v>521</v>
      </c>
      <c r="F48" s="9" t="s">
        <v>522</v>
      </c>
      <c r="G48" s="26" t="s">
        <v>523</v>
      </c>
    </row>
    <row r="49" customFormat="false" ht="22.5" hidden="false" customHeight="true" outlineLevel="0" collapsed="false">
      <c r="A49" s="9" t="s">
        <v>7</v>
      </c>
      <c r="B49" s="9" t="s">
        <v>524</v>
      </c>
      <c r="C49" s="9" t="s">
        <v>525</v>
      </c>
      <c r="D49" s="9" t="s">
        <v>526</v>
      </c>
      <c r="E49" s="9" t="s">
        <v>527</v>
      </c>
      <c r="F49" s="9" t="s">
        <v>528</v>
      </c>
      <c r="G49" s="26" t="s">
        <v>529</v>
      </c>
    </row>
    <row r="50" customFormat="false" ht="22.5" hidden="false" customHeight="true" outlineLevel="0" collapsed="false">
      <c r="A50" s="9" t="s">
        <v>7</v>
      </c>
      <c r="B50" s="9" t="s">
        <v>384</v>
      </c>
      <c r="C50" s="9" t="s">
        <v>530</v>
      </c>
      <c r="D50" s="9" t="s">
        <v>531</v>
      </c>
      <c r="E50" s="9" t="s">
        <v>532</v>
      </c>
      <c r="F50" s="9" t="s">
        <v>533</v>
      </c>
      <c r="G50" s="26" t="s">
        <v>534</v>
      </c>
    </row>
    <row r="51" customFormat="false" ht="22.5" hidden="false" customHeight="true" outlineLevel="0" collapsed="false">
      <c r="A51" s="9" t="s">
        <v>7</v>
      </c>
      <c r="B51" s="9" t="s">
        <v>302</v>
      </c>
      <c r="C51" s="9" t="s">
        <v>535</v>
      </c>
      <c r="D51" s="9" t="s">
        <v>536</v>
      </c>
      <c r="E51" s="9" t="s">
        <v>537</v>
      </c>
      <c r="F51" s="9" t="s">
        <v>538</v>
      </c>
      <c r="G51" s="26" t="s">
        <v>539</v>
      </c>
    </row>
    <row r="52" customFormat="false" ht="22.5" hidden="false" customHeight="true" outlineLevel="0" collapsed="false">
      <c r="A52" s="9" t="s">
        <v>7</v>
      </c>
      <c r="B52" s="9" t="s">
        <v>540</v>
      </c>
      <c r="C52" s="9" t="s">
        <v>541</v>
      </c>
      <c r="D52" s="9" t="s">
        <v>542</v>
      </c>
      <c r="E52" s="9" t="s">
        <v>543</v>
      </c>
      <c r="F52" s="9" t="s">
        <v>544</v>
      </c>
      <c r="G52" s="26" t="s">
        <v>545</v>
      </c>
    </row>
    <row r="53" customFormat="false" ht="22.5" hidden="false" customHeight="true" outlineLevel="0" collapsed="false">
      <c r="A53" s="9" t="s">
        <v>7</v>
      </c>
      <c r="B53" s="9" t="s">
        <v>546</v>
      </c>
      <c r="C53" s="9" t="s">
        <v>547</v>
      </c>
      <c r="D53" s="9" t="s">
        <v>326</v>
      </c>
      <c r="E53" s="9" t="s">
        <v>548</v>
      </c>
      <c r="F53" s="9" t="s">
        <v>549</v>
      </c>
      <c r="G53" s="26" t="s">
        <v>550</v>
      </c>
    </row>
    <row r="54" customFormat="false" ht="22.5" hidden="false" customHeight="true" outlineLevel="0" collapsed="false">
      <c r="A54" s="9" t="s">
        <v>7</v>
      </c>
      <c r="B54" s="9" t="s">
        <v>551</v>
      </c>
      <c r="C54" s="9" t="s">
        <v>552</v>
      </c>
      <c r="D54" s="9" t="s">
        <v>553</v>
      </c>
      <c r="E54" s="9" t="s">
        <v>554</v>
      </c>
      <c r="F54" s="9" t="s">
        <v>555</v>
      </c>
      <c r="G54" s="26" t="s">
        <v>556</v>
      </c>
    </row>
    <row r="55" customFormat="false" ht="13.5" hidden="false" customHeight="true" outlineLevel="0" collapsed="false">
      <c r="A55" s="9" t="s">
        <v>7</v>
      </c>
      <c r="B55" s="9" t="s">
        <v>557</v>
      </c>
      <c r="C55" s="9" t="s">
        <v>558</v>
      </c>
      <c r="D55" s="9" t="s">
        <v>476</v>
      </c>
      <c r="E55" s="9" t="s">
        <v>559</v>
      </c>
      <c r="F55" s="9" t="s">
        <v>560</v>
      </c>
      <c r="G55" s="26" t="s">
        <v>561</v>
      </c>
    </row>
    <row r="56" customFormat="false" ht="22.5" hidden="false" customHeight="true" outlineLevel="0" collapsed="false">
      <c r="A56" s="9" t="s">
        <v>7</v>
      </c>
      <c r="B56" s="9" t="s">
        <v>296</v>
      </c>
      <c r="C56" s="9" t="s">
        <v>562</v>
      </c>
      <c r="D56" s="9" t="s">
        <v>416</v>
      </c>
      <c r="E56" s="9" t="s">
        <v>563</v>
      </c>
      <c r="F56" s="9" t="s">
        <v>564</v>
      </c>
      <c r="G56" s="26" t="s">
        <v>565</v>
      </c>
    </row>
    <row r="57" customFormat="false" ht="22.5" hidden="false" customHeight="true" outlineLevel="0" collapsed="false">
      <c r="A57" s="9" t="s">
        <v>10</v>
      </c>
      <c r="B57" s="9" t="s">
        <v>279</v>
      </c>
      <c r="C57" s="9" t="s">
        <v>566</v>
      </c>
      <c r="D57" s="9" t="s">
        <v>567</v>
      </c>
      <c r="E57" s="9" t="s">
        <v>568</v>
      </c>
      <c r="F57" s="9" t="s">
        <v>569</v>
      </c>
      <c r="G57" s="26" t="s">
        <v>570</v>
      </c>
    </row>
    <row r="58" customFormat="false" ht="22.5" hidden="false" customHeight="true" outlineLevel="0" collapsed="false">
      <c r="A58" s="9" t="s">
        <v>10</v>
      </c>
      <c r="B58" s="9" t="s">
        <v>279</v>
      </c>
      <c r="C58" s="9" t="s">
        <v>571</v>
      </c>
      <c r="D58" s="9" t="s">
        <v>572</v>
      </c>
      <c r="E58" s="9" t="s">
        <v>573</v>
      </c>
      <c r="F58" s="9" t="s">
        <v>574</v>
      </c>
      <c r="G58" s="26" t="s">
        <v>575</v>
      </c>
    </row>
    <row r="59" customFormat="false" ht="22.5" hidden="false" customHeight="true" outlineLevel="0" collapsed="false">
      <c r="A59" s="9" t="s">
        <v>10</v>
      </c>
      <c r="B59" s="9" t="s">
        <v>279</v>
      </c>
      <c r="C59" s="9" t="s">
        <v>576</v>
      </c>
      <c r="D59" s="9" t="s">
        <v>577</v>
      </c>
      <c r="E59" s="9" t="s">
        <v>578</v>
      </c>
      <c r="F59" s="9" t="s">
        <v>579</v>
      </c>
      <c r="G59" s="26" t="s">
        <v>580</v>
      </c>
    </row>
    <row r="60" customFormat="false" ht="22.5" hidden="false" customHeight="true" outlineLevel="0" collapsed="false">
      <c r="A60" s="9" t="s">
        <v>10</v>
      </c>
      <c r="B60" s="9" t="s">
        <v>438</v>
      </c>
      <c r="C60" s="9" t="s">
        <v>581</v>
      </c>
      <c r="D60" s="9" t="s">
        <v>582</v>
      </c>
      <c r="E60" s="9" t="s">
        <v>583</v>
      </c>
      <c r="F60" s="9" t="s">
        <v>584</v>
      </c>
      <c r="G60" s="26" t="s">
        <v>585</v>
      </c>
    </row>
    <row r="61" customFormat="false" ht="13.5" hidden="false" customHeight="true" outlineLevel="0" collapsed="false">
      <c r="A61" s="9" t="s">
        <v>10</v>
      </c>
      <c r="B61" s="9" t="s">
        <v>586</v>
      </c>
      <c r="C61" s="9" t="s">
        <v>587</v>
      </c>
      <c r="D61" s="9" t="s">
        <v>588</v>
      </c>
      <c r="E61" s="9" t="s">
        <v>589</v>
      </c>
      <c r="F61" s="9" t="s">
        <v>590</v>
      </c>
      <c r="G61" s="26" t="s">
        <v>591</v>
      </c>
    </row>
    <row r="62" customFormat="false" ht="22.5" hidden="false" customHeight="true" outlineLevel="0" collapsed="false">
      <c r="A62" s="9" t="s">
        <v>10</v>
      </c>
      <c r="B62" s="9" t="s">
        <v>279</v>
      </c>
      <c r="C62" s="9" t="s">
        <v>592</v>
      </c>
      <c r="D62" s="9" t="s">
        <v>593</v>
      </c>
      <c r="E62" s="9" t="s">
        <v>594</v>
      </c>
      <c r="F62" s="9" t="s">
        <v>595</v>
      </c>
      <c r="G62" s="26" t="s">
        <v>596</v>
      </c>
    </row>
    <row r="63" customFormat="false" ht="22.5" hidden="false" customHeight="true" outlineLevel="0" collapsed="false">
      <c r="A63" s="9" t="s">
        <v>10</v>
      </c>
      <c r="B63" s="9" t="s">
        <v>438</v>
      </c>
      <c r="C63" s="9" t="s">
        <v>597</v>
      </c>
      <c r="D63" s="9" t="s">
        <v>598</v>
      </c>
      <c r="E63" s="9" t="s">
        <v>599</v>
      </c>
      <c r="F63" s="9" t="s">
        <v>600</v>
      </c>
      <c r="G63" s="26" t="s">
        <v>601</v>
      </c>
    </row>
    <row r="64" customFormat="false" ht="22.5" hidden="false" customHeight="true" outlineLevel="0" collapsed="false">
      <c r="A64" s="9" t="s">
        <v>10</v>
      </c>
      <c r="B64" s="9" t="s">
        <v>602</v>
      </c>
      <c r="C64" s="9" t="s">
        <v>603</v>
      </c>
      <c r="D64" s="9" t="s">
        <v>604</v>
      </c>
      <c r="E64" s="9" t="s">
        <v>605</v>
      </c>
      <c r="F64" s="9" t="s">
        <v>606</v>
      </c>
      <c r="G64" s="26" t="s">
        <v>607</v>
      </c>
    </row>
    <row r="65" customFormat="false" ht="49.5" hidden="false" customHeight="true" outlineLevel="0" collapsed="false">
      <c r="A65" s="9" t="s">
        <v>10</v>
      </c>
      <c r="B65" s="9" t="s">
        <v>438</v>
      </c>
      <c r="C65" s="9" t="s">
        <v>608</v>
      </c>
      <c r="D65" s="9" t="s">
        <v>609</v>
      </c>
      <c r="E65" s="9" t="s">
        <v>610</v>
      </c>
      <c r="F65" s="9" t="s">
        <v>611</v>
      </c>
      <c r="G65" s="26" t="s">
        <v>612</v>
      </c>
    </row>
    <row r="66" customFormat="false" ht="49.5" hidden="false" customHeight="true" outlineLevel="0" collapsed="false">
      <c r="A66" s="9" t="s">
        <v>32</v>
      </c>
      <c r="B66" s="9" t="s">
        <v>438</v>
      </c>
      <c r="C66" s="9" t="s">
        <v>613</v>
      </c>
      <c r="D66" s="9" t="s">
        <v>614</v>
      </c>
      <c r="E66" s="9" t="s">
        <v>615</v>
      </c>
      <c r="F66" s="9" t="s">
        <v>616</v>
      </c>
      <c r="G66" s="26" t="s">
        <v>617</v>
      </c>
    </row>
    <row r="67" customFormat="false" ht="49.5" hidden="false" customHeight="true" outlineLevel="0" collapsed="false">
      <c r="A67" s="9" t="s">
        <v>32</v>
      </c>
      <c r="B67" s="9" t="s">
        <v>438</v>
      </c>
      <c r="C67" s="9" t="s">
        <v>618</v>
      </c>
      <c r="D67" s="9" t="s">
        <v>619</v>
      </c>
      <c r="E67" s="9" t="s">
        <v>620</v>
      </c>
      <c r="F67" s="9" t="s">
        <v>621</v>
      </c>
      <c r="G67" s="26" t="s">
        <v>622</v>
      </c>
    </row>
    <row r="68" customFormat="false" ht="22.5" hidden="false" customHeight="true" outlineLevel="0" collapsed="false">
      <c r="A68" s="9" t="s">
        <v>32</v>
      </c>
      <c r="B68" s="9" t="s">
        <v>438</v>
      </c>
      <c r="C68" s="9" t="s">
        <v>623</v>
      </c>
      <c r="D68" s="9" t="s">
        <v>624</v>
      </c>
      <c r="E68" s="9" t="s">
        <v>625</v>
      </c>
      <c r="F68" s="9" t="s">
        <v>626</v>
      </c>
      <c r="G68" s="26" t="s">
        <v>627</v>
      </c>
    </row>
    <row r="69" customFormat="false" ht="22.5" hidden="false" customHeight="true" outlineLevel="0" collapsed="false">
      <c r="A69" s="9" t="s">
        <v>32</v>
      </c>
      <c r="B69" s="9" t="s">
        <v>279</v>
      </c>
      <c r="C69" s="9" t="s">
        <v>628</v>
      </c>
      <c r="D69" s="9" t="s">
        <v>629</v>
      </c>
      <c r="E69" s="9" t="s">
        <v>630</v>
      </c>
      <c r="F69" s="9" t="s">
        <v>631</v>
      </c>
      <c r="G69" s="26" t="s">
        <v>632</v>
      </c>
    </row>
    <row r="70" customFormat="false" ht="22.5" hidden="false" customHeight="true" outlineLevel="0" collapsed="false">
      <c r="A70" s="9" t="s">
        <v>32</v>
      </c>
      <c r="B70" s="9" t="s">
        <v>438</v>
      </c>
      <c r="C70" s="9" t="s">
        <v>633</v>
      </c>
      <c r="D70" s="9" t="s">
        <v>634</v>
      </c>
      <c r="E70" s="9" t="s">
        <v>635</v>
      </c>
      <c r="F70" s="9" t="s">
        <v>636</v>
      </c>
      <c r="G70" s="26" t="s">
        <v>637</v>
      </c>
    </row>
    <row r="71" customFormat="false" ht="22.5" hidden="false" customHeight="true" outlineLevel="0" collapsed="false">
      <c r="A71" s="9" t="s">
        <v>32</v>
      </c>
      <c r="B71" s="9" t="s">
        <v>638</v>
      </c>
      <c r="C71" s="9" t="s">
        <v>639</v>
      </c>
      <c r="D71" s="9" t="s">
        <v>640</v>
      </c>
      <c r="E71" s="9" t="s">
        <v>641</v>
      </c>
      <c r="F71" s="9" t="s">
        <v>642</v>
      </c>
      <c r="G71" s="26" t="s">
        <v>643</v>
      </c>
    </row>
    <row r="72" customFormat="false" ht="22.5" hidden="false" customHeight="true" outlineLevel="0" collapsed="false">
      <c r="A72" s="9" t="s">
        <v>22</v>
      </c>
      <c r="B72" s="9" t="s">
        <v>279</v>
      </c>
      <c r="C72" s="9" t="s">
        <v>644</v>
      </c>
      <c r="D72" s="9" t="s">
        <v>645</v>
      </c>
      <c r="E72" s="9" t="s">
        <v>646</v>
      </c>
      <c r="F72" s="9" t="s">
        <v>647</v>
      </c>
      <c r="G72" s="26" t="s">
        <v>648</v>
      </c>
    </row>
    <row r="73" customFormat="false" ht="22.5" hidden="false" customHeight="true" outlineLevel="0" collapsed="false">
      <c r="A73" s="9" t="s">
        <v>22</v>
      </c>
      <c r="B73" s="9" t="s">
        <v>279</v>
      </c>
      <c r="C73" s="9" t="s">
        <v>649</v>
      </c>
      <c r="D73" s="9" t="s">
        <v>650</v>
      </c>
      <c r="E73" s="9" t="s">
        <v>651</v>
      </c>
      <c r="F73" s="9" t="s">
        <v>652</v>
      </c>
      <c r="G73" s="26" t="s">
        <v>653</v>
      </c>
    </row>
    <row r="74" customFormat="false" ht="30" hidden="false" customHeight="true" outlineLevel="0" collapsed="false">
      <c r="A74" s="9" t="s">
        <v>22</v>
      </c>
      <c r="B74" s="9" t="s">
        <v>279</v>
      </c>
      <c r="C74" s="9" t="s">
        <v>654</v>
      </c>
      <c r="D74" s="9" t="s">
        <v>655</v>
      </c>
      <c r="E74" s="9" t="s">
        <v>656</v>
      </c>
      <c r="F74" s="9" t="s">
        <v>657</v>
      </c>
      <c r="G74" s="26" t="s">
        <v>658</v>
      </c>
    </row>
    <row r="75" customFormat="false" ht="22.5" hidden="false" customHeight="true" outlineLevel="0" collapsed="false">
      <c r="A75" s="9" t="s">
        <v>22</v>
      </c>
      <c r="B75" s="9" t="s">
        <v>290</v>
      </c>
      <c r="C75" s="9" t="s">
        <v>659</v>
      </c>
      <c r="D75" s="9" t="s">
        <v>660</v>
      </c>
      <c r="E75" s="9" t="s">
        <v>661</v>
      </c>
      <c r="F75" s="9" t="s">
        <v>662</v>
      </c>
      <c r="G75" s="26" t="s">
        <v>632</v>
      </c>
    </row>
    <row r="76" customFormat="false" ht="22.5" hidden="false" customHeight="true" outlineLevel="0" collapsed="false">
      <c r="A76" s="9" t="s">
        <v>22</v>
      </c>
      <c r="B76" s="9" t="s">
        <v>279</v>
      </c>
      <c r="C76" s="9" t="s">
        <v>663</v>
      </c>
      <c r="D76" s="9" t="s">
        <v>593</v>
      </c>
      <c r="E76" s="9" t="s">
        <v>664</v>
      </c>
      <c r="F76" s="9" t="s">
        <v>665</v>
      </c>
      <c r="G76" s="26" t="s">
        <v>666</v>
      </c>
    </row>
    <row r="77" customFormat="false" ht="22.5" hidden="false" customHeight="true" outlineLevel="0" collapsed="false">
      <c r="A77" s="9" t="s">
        <v>22</v>
      </c>
      <c r="B77" s="9" t="s">
        <v>438</v>
      </c>
      <c r="C77" s="9" t="s">
        <v>667</v>
      </c>
      <c r="D77" s="9" t="s">
        <v>668</v>
      </c>
      <c r="E77" s="9" t="s">
        <v>669</v>
      </c>
      <c r="F77" s="9" t="s">
        <v>670</v>
      </c>
      <c r="G77" s="26" t="s">
        <v>671</v>
      </c>
    </row>
    <row r="78" customFormat="false" ht="22.5" hidden="false" customHeight="true" outlineLevel="0" collapsed="false">
      <c r="A78" s="9" t="s">
        <v>22</v>
      </c>
      <c r="B78" s="9" t="s">
        <v>438</v>
      </c>
      <c r="C78" s="9" t="s">
        <v>672</v>
      </c>
      <c r="D78" s="9" t="s">
        <v>673</v>
      </c>
      <c r="E78" s="9" t="s">
        <v>674</v>
      </c>
      <c r="F78" s="9" t="s">
        <v>675</v>
      </c>
      <c r="G78" s="26" t="s">
        <v>676</v>
      </c>
    </row>
    <row r="79" customFormat="false" ht="22.5" hidden="false" customHeight="true" outlineLevel="0" collapsed="false">
      <c r="A79" s="9" t="s">
        <v>22</v>
      </c>
      <c r="B79" s="9" t="s">
        <v>677</v>
      </c>
      <c r="C79" s="9" t="s">
        <v>678</v>
      </c>
      <c r="D79" s="9" t="s">
        <v>679</v>
      </c>
      <c r="E79" s="9" t="s">
        <v>680</v>
      </c>
      <c r="F79" s="9" t="s">
        <v>681</v>
      </c>
      <c r="G79" s="26" t="s">
        <v>682</v>
      </c>
    </row>
    <row r="80" customFormat="false" ht="22.5" hidden="false" customHeight="true" outlineLevel="0" collapsed="false">
      <c r="A80" s="9" t="s">
        <v>22</v>
      </c>
      <c r="B80" s="9" t="s">
        <v>405</v>
      </c>
      <c r="C80" s="9" t="s">
        <v>683</v>
      </c>
      <c r="D80" s="9" t="s">
        <v>684</v>
      </c>
      <c r="E80" s="9" t="s">
        <v>685</v>
      </c>
      <c r="F80" s="9" t="s">
        <v>686</v>
      </c>
      <c r="G80" s="26" t="s">
        <v>687</v>
      </c>
    </row>
    <row r="81" customFormat="false" ht="30" hidden="false" customHeight="true" outlineLevel="0" collapsed="false">
      <c r="A81" s="9" t="s">
        <v>30</v>
      </c>
      <c r="B81" s="9" t="s">
        <v>428</v>
      </c>
      <c r="C81" s="9" t="s">
        <v>688</v>
      </c>
      <c r="D81" s="9" t="s">
        <v>689</v>
      </c>
      <c r="E81" s="9" t="s">
        <v>690</v>
      </c>
      <c r="F81" s="9" t="s">
        <v>691</v>
      </c>
      <c r="G81" s="26" t="s">
        <v>692</v>
      </c>
    </row>
    <row r="82" customFormat="false" ht="30" hidden="false" customHeight="true" outlineLevel="0" collapsed="false">
      <c r="A82" s="9" t="s">
        <v>30</v>
      </c>
      <c r="B82" s="9" t="s">
        <v>438</v>
      </c>
      <c r="C82" s="9" t="s">
        <v>693</v>
      </c>
      <c r="D82" s="9" t="s">
        <v>694</v>
      </c>
      <c r="E82" s="9" t="s">
        <v>695</v>
      </c>
      <c r="F82" s="9" t="s">
        <v>696</v>
      </c>
      <c r="G82" s="26" t="s">
        <v>697</v>
      </c>
    </row>
    <row r="83" customFormat="false" ht="30" hidden="false" customHeight="true" outlineLevel="0" collapsed="false">
      <c r="A83" s="9" t="s">
        <v>30</v>
      </c>
      <c r="B83" s="9" t="s">
        <v>438</v>
      </c>
      <c r="C83" s="9" t="s">
        <v>698</v>
      </c>
      <c r="D83" s="9" t="s">
        <v>699</v>
      </c>
      <c r="E83" s="9" t="s">
        <v>700</v>
      </c>
      <c r="F83" s="9" t="s">
        <v>701</v>
      </c>
      <c r="G83" s="26" t="s">
        <v>702</v>
      </c>
    </row>
    <row r="84" customFormat="false" ht="49.5" hidden="false" customHeight="true" outlineLevel="0" collapsed="false">
      <c r="A84" s="9" t="s">
        <v>30</v>
      </c>
      <c r="B84" s="9" t="s">
        <v>438</v>
      </c>
      <c r="C84" s="9" t="s">
        <v>703</v>
      </c>
      <c r="D84" s="9" t="s">
        <v>704</v>
      </c>
      <c r="E84" s="9" t="s">
        <v>705</v>
      </c>
      <c r="F84" s="9" t="s">
        <v>706</v>
      </c>
      <c r="G84" s="26" t="s">
        <v>707</v>
      </c>
    </row>
    <row r="85" customFormat="false" ht="22.5" hidden="false" customHeight="true" outlineLevel="0" collapsed="false">
      <c r="A85" s="9" t="s">
        <v>30</v>
      </c>
      <c r="B85" s="9" t="s">
        <v>438</v>
      </c>
      <c r="C85" s="9" t="s">
        <v>708</v>
      </c>
      <c r="D85" s="9" t="s">
        <v>709</v>
      </c>
      <c r="E85" s="9" t="s">
        <v>710</v>
      </c>
      <c r="F85" s="9" t="s">
        <v>711</v>
      </c>
      <c r="G85" s="26" t="s">
        <v>712</v>
      </c>
    </row>
    <row r="86" customFormat="false" ht="22.5" hidden="false" customHeight="true" outlineLevel="0" collapsed="false">
      <c r="A86" s="9" t="s">
        <v>30</v>
      </c>
      <c r="B86" s="9" t="s">
        <v>713</v>
      </c>
      <c r="C86" s="9" t="s">
        <v>714</v>
      </c>
      <c r="D86" s="9" t="s">
        <v>715</v>
      </c>
      <c r="E86" s="9" t="s">
        <v>716</v>
      </c>
      <c r="F86" s="9" t="s">
        <v>717</v>
      </c>
      <c r="G86" s="26" t="s">
        <v>718</v>
      </c>
    </row>
    <row r="87" customFormat="false" ht="22.5" hidden="false" customHeight="true" outlineLevel="0" collapsed="false">
      <c r="A87" s="9" t="s">
        <v>30</v>
      </c>
      <c r="B87" s="9" t="s">
        <v>438</v>
      </c>
      <c r="C87" s="9" t="s">
        <v>719</v>
      </c>
      <c r="D87" s="9" t="s">
        <v>720</v>
      </c>
      <c r="E87" s="9" t="s">
        <v>721</v>
      </c>
      <c r="F87" s="9" t="s">
        <v>722</v>
      </c>
      <c r="G87" s="26" t="s">
        <v>723</v>
      </c>
    </row>
    <row r="88" customFormat="false" ht="22.5" hidden="false" customHeight="true" outlineLevel="0" collapsed="false">
      <c r="A88" s="9" t="s">
        <v>30</v>
      </c>
      <c r="B88" s="9" t="s">
        <v>724</v>
      </c>
      <c r="C88" s="9" t="s">
        <v>725</v>
      </c>
      <c r="D88" s="9" t="s">
        <v>326</v>
      </c>
      <c r="E88" s="9" t="s">
        <v>726</v>
      </c>
      <c r="F88" s="9" t="s">
        <v>727</v>
      </c>
      <c r="G88" s="26" t="s">
        <v>728</v>
      </c>
    </row>
    <row r="89" customFormat="false" ht="22.5" hidden="false" customHeight="true" outlineLevel="0" collapsed="false">
      <c r="A89" s="9" t="s">
        <v>30</v>
      </c>
      <c r="B89" s="9" t="s">
        <v>729</v>
      </c>
      <c r="C89" s="9" t="s">
        <v>730</v>
      </c>
      <c r="D89" s="9" t="s">
        <v>731</v>
      </c>
      <c r="E89" s="9" t="s">
        <v>732</v>
      </c>
      <c r="F89" s="9" t="s">
        <v>733</v>
      </c>
      <c r="G89" s="26" t="s">
        <v>734</v>
      </c>
    </row>
    <row r="90" customFormat="false" ht="22.5" hidden="false" customHeight="true" outlineLevel="0" collapsed="false">
      <c r="A90" s="9" t="s">
        <v>30</v>
      </c>
      <c r="B90" s="9" t="s">
        <v>602</v>
      </c>
      <c r="C90" s="9" t="s">
        <v>735</v>
      </c>
      <c r="D90" s="9" t="s">
        <v>736</v>
      </c>
      <c r="E90" s="9" t="s">
        <v>737</v>
      </c>
      <c r="F90" s="9" t="s">
        <v>738</v>
      </c>
      <c r="G90" s="26" t="s">
        <v>739</v>
      </c>
    </row>
    <row r="91" customFormat="false" ht="22.5" hidden="false" customHeight="true" outlineLevel="0" collapsed="false">
      <c r="A91" s="9" t="s">
        <v>30</v>
      </c>
      <c r="B91" s="9" t="s">
        <v>740</v>
      </c>
      <c r="C91" s="9" t="s">
        <v>741</v>
      </c>
      <c r="D91" s="9" t="s">
        <v>531</v>
      </c>
      <c r="E91" s="9" t="s">
        <v>742</v>
      </c>
      <c r="F91" s="9" t="s">
        <v>743</v>
      </c>
      <c r="G91" s="26" t="s">
        <v>692</v>
      </c>
    </row>
    <row r="92" customFormat="false" ht="22.5" hidden="false" customHeight="true" outlineLevel="0" collapsed="false">
      <c r="A92" s="9" t="s">
        <v>15</v>
      </c>
      <c r="B92" s="9" t="s">
        <v>279</v>
      </c>
      <c r="C92" s="9" t="s">
        <v>744</v>
      </c>
      <c r="D92" s="9" t="s">
        <v>745</v>
      </c>
      <c r="E92" s="9" t="s">
        <v>746</v>
      </c>
      <c r="F92" s="9" t="s">
        <v>747</v>
      </c>
      <c r="G92" s="26" t="s">
        <v>748</v>
      </c>
    </row>
    <row r="93" customFormat="false" ht="22.5" hidden="false" customHeight="true" outlineLevel="0" collapsed="false">
      <c r="A93" s="9" t="s">
        <v>15</v>
      </c>
      <c r="B93" s="9" t="s">
        <v>428</v>
      </c>
      <c r="C93" s="9" t="s">
        <v>749</v>
      </c>
      <c r="D93" s="9" t="s">
        <v>425</v>
      </c>
      <c r="E93" s="9" t="s">
        <v>750</v>
      </c>
      <c r="F93" s="9" t="s">
        <v>751</v>
      </c>
      <c r="G93" s="26" t="s">
        <v>752</v>
      </c>
    </row>
    <row r="94" customFormat="false" ht="22.5" hidden="false" customHeight="true" outlineLevel="0" collapsed="false">
      <c r="A94" s="9" t="s">
        <v>15</v>
      </c>
      <c r="B94" s="9" t="s">
        <v>428</v>
      </c>
      <c r="C94" s="9" t="s">
        <v>753</v>
      </c>
      <c r="D94" s="9" t="s">
        <v>754</v>
      </c>
      <c r="E94" s="9" t="s">
        <v>755</v>
      </c>
      <c r="F94" s="9" t="s">
        <v>756</v>
      </c>
      <c r="G94" s="26" t="s">
        <v>757</v>
      </c>
    </row>
    <row r="95" customFormat="false" ht="22.5" hidden="false" customHeight="true" outlineLevel="0" collapsed="false">
      <c r="A95" s="9" t="s">
        <v>15</v>
      </c>
      <c r="B95" s="9" t="s">
        <v>438</v>
      </c>
      <c r="C95" s="9" t="s">
        <v>758</v>
      </c>
      <c r="D95" s="9" t="s">
        <v>759</v>
      </c>
      <c r="E95" s="9" t="s">
        <v>760</v>
      </c>
      <c r="F95" s="9" t="s">
        <v>761</v>
      </c>
      <c r="G95" s="26" t="s">
        <v>762</v>
      </c>
    </row>
    <row r="96" customFormat="false" ht="22.5" hidden="false" customHeight="true" outlineLevel="0" collapsed="false">
      <c r="A96" s="9" t="s">
        <v>15</v>
      </c>
      <c r="B96" s="9" t="s">
        <v>438</v>
      </c>
      <c r="C96" s="9" t="s">
        <v>763</v>
      </c>
      <c r="D96" s="9" t="s">
        <v>764</v>
      </c>
      <c r="E96" s="9" t="s">
        <v>765</v>
      </c>
      <c r="F96" s="9" t="s">
        <v>766</v>
      </c>
      <c r="G96" s="26" t="s">
        <v>767</v>
      </c>
    </row>
    <row r="97" customFormat="false" ht="22.5" hidden="false" customHeight="true" outlineLevel="0" collapsed="false">
      <c r="A97" s="9" t="s">
        <v>15</v>
      </c>
      <c r="B97" s="9" t="s">
        <v>438</v>
      </c>
      <c r="C97" s="9" t="s">
        <v>768</v>
      </c>
      <c r="D97" s="9" t="s">
        <v>769</v>
      </c>
      <c r="E97" s="9" t="s">
        <v>770</v>
      </c>
      <c r="F97" s="9" t="s">
        <v>771</v>
      </c>
      <c r="G97" s="26" t="s">
        <v>772</v>
      </c>
    </row>
    <row r="98" customFormat="false" ht="22.5" hidden="false" customHeight="true" outlineLevel="0" collapsed="false">
      <c r="A98" s="9" t="s">
        <v>15</v>
      </c>
      <c r="B98" s="9" t="s">
        <v>773</v>
      </c>
      <c r="C98" s="9" t="s">
        <v>774</v>
      </c>
      <c r="D98" s="9" t="s">
        <v>775</v>
      </c>
      <c r="E98" s="9" t="s">
        <v>776</v>
      </c>
      <c r="F98" s="9" t="s">
        <v>777</v>
      </c>
      <c r="G98" s="26" t="s">
        <v>778</v>
      </c>
    </row>
    <row r="99" customFormat="false" ht="30" hidden="false" customHeight="true" outlineLevel="0" collapsed="false">
      <c r="A99" s="9" t="s">
        <v>28</v>
      </c>
      <c r="B99" s="9" t="s">
        <v>438</v>
      </c>
      <c r="C99" s="9" t="s">
        <v>779</v>
      </c>
      <c r="D99" s="9" t="s">
        <v>780</v>
      </c>
      <c r="E99" s="9" t="s">
        <v>781</v>
      </c>
      <c r="F99" s="9" t="s">
        <v>782</v>
      </c>
      <c r="G99" s="26" t="s">
        <v>783</v>
      </c>
    </row>
    <row r="100" customFormat="false" ht="22.5" hidden="false" customHeight="true" outlineLevel="0" collapsed="false">
      <c r="A100" s="9" t="s">
        <v>28</v>
      </c>
      <c r="B100" s="9" t="s">
        <v>438</v>
      </c>
      <c r="C100" s="9" t="s">
        <v>784</v>
      </c>
      <c r="D100" s="9" t="s">
        <v>640</v>
      </c>
      <c r="E100" s="9" t="s">
        <v>785</v>
      </c>
      <c r="F100" s="9" t="s">
        <v>786</v>
      </c>
      <c r="G100" s="26" t="s">
        <v>787</v>
      </c>
    </row>
    <row r="101" customFormat="false" ht="39.75" hidden="false" customHeight="true" outlineLevel="0" collapsed="false">
      <c r="A101" s="9" t="s">
        <v>28</v>
      </c>
      <c r="B101" s="9" t="s">
        <v>438</v>
      </c>
      <c r="C101" s="9" t="s">
        <v>788</v>
      </c>
      <c r="D101" s="9" t="s">
        <v>789</v>
      </c>
      <c r="E101" s="9" t="s">
        <v>790</v>
      </c>
      <c r="F101" s="9" t="s">
        <v>791</v>
      </c>
      <c r="G101" s="26" t="s">
        <v>792</v>
      </c>
    </row>
    <row r="102" customFormat="false" ht="30" hidden="false" customHeight="true" outlineLevel="0" collapsed="false">
      <c r="A102" s="9" t="s">
        <v>28</v>
      </c>
      <c r="B102" s="9" t="s">
        <v>438</v>
      </c>
      <c r="C102" s="9" t="s">
        <v>793</v>
      </c>
      <c r="D102" s="9" t="s">
        <v>794</v>
      </c>
      <c r="E102" s="9" t="s">
        <v>795</v>
      </c>
      <c r="F102" s="9" t="s">
        <v>796</v>
      </c>
      <c r="G102" s="26" t="s">
        <v>797</v>
      </c>
    </row>
    <row r="103" customFormat="false" ht="30" hidden="false" customHeight="true" outlineLevel="0" collapsed="false">
      <c r="A103" s="9" t="s">
        <v>28</v>
      </c>
      <c r="B103" s="9" t="s">
        <v>438</v>
      </c>
      <c r="C103" s="9" t="s">
        <v>798</v>
      </c>
      <c r="D103" s="9" t="s">
        <v>799</v>
      </c>
      <c r="E103" s="9" t="s">
        <v>800</v>
      </c>
      <c r="F103" s="9" t="s">
        <v>801</v>
      </c>
      <c r="G103" s="26" t="s">
        <v>797</v>
      </c>
    </row>
    <row r="104" customFormat="false" ht="30" hidden="false" customHeight="true" outlineLevel="0" collapsed="false">
      <c r="A104" s="9" t="s">
        <v>28</v>
      </c>
      <c r="B104" s="9" t="s">
        <v>438</v>
      </c>
      <c r="C104" s="9" t="s">
        <v>802</v>
      </c>
      <c r="D104" s="9" t="s">
        <v>416</v>
      </c>
      <c r="E104" s="9" t="s">
        <v>803</v>
      </c>
      <c r="F104" s="9" t="s">
        <v>804</v>
      </c>
      <c r="G104" s="26" t="s">
        <v>805</v>
      </c>
    </row>
    <row r="105" customFormat="false" ht="22.5" hidden="false" customHeight="true" outlineLevel="0" collapsed="false">
      <c r="A105" s="9" t="s">
        <v>25</v>
      </c>
      <c r="B105" s="9" t="s">
        <v>279</v>
      </c>
      <c r="C105" s="9" t="s">
        <v>806</v>
      </c>
      <c r="D105" s="9" t="s">
        <v>416</v>
      </c>
      <c r="E105" s="9" t="s">
        <v>807</v>
      </c>
      <c r="F105" s="9" t="s">
        <v>808</v>
      </c>
      <c r="G105" s="26" t="s">
        <v>809</v>
      </c>
    </row>
    <row r="106" customFormat="false" ht="22.5" hidden="false" customHeight="true" outlineLevel="0" collapsed="false">
      <c r="A106" s="9" t="s">
        <v>25</v>
      </c>
      <c r="B106" s="9" t="s">
        <v>279</v>
      </c>
      <c r="C106" s="9" t="s">
        <v>810</v>
      </c>
      <c r="D106" s="9" t="s">
        <v>811</v>
      </c>
      <c r="E106" s="9" t="s">
        <v>812</v>
      </c>
      <c r="F106" s="9" t="s">
        <v>813</v>
      </c>
      <c r="G106" s="26" t="s">
        <v>809</v>
      </c>
    </row>
    <row r="107" customFormat="false" ht="22.5" hidden="false" customHeight="true" outlineLevel="0" collapsed="false">
      <c r="A107" s="9" t="s">
        <v>25</v>
      </c>
      <c r="B107" s="9" t="s">
        <v>279</v>
      </c>
      <c r="C107" s="9" t="s">
        <v>814</v>
      </c>
      <c r="D107" s="9" t="s">
        <v>815</v>
      </c>
      <c r="E107" s="9" t="s">
        <v>816</v>
      </c>
      <c r="F107" s="9" t="s">
        <v>817</v>
      </c>
      <c r="G107" s="26" t="s">
        <v>809</v>
      </c>
    </row>
    <row r="108" customFormat="false" ht="21.75" hidden="false" customHeight="true" outlineLevel="0" collapsed="false">
      <c r="A108" s="9" t="s">
        <v>25</v>
      </c>
      <c r="B108" s="9" t="s">
        <v>279</v>
      </c>
      <c r="C108" s="9" t="s">
        <v>818</v>
      </c>
      <c r="D108" s="9" t="s">
        <v>819</v>
      </c>
      <c r="E108" s="9" t="s">
        <v>820</v>
      </c>
      <c r="F108" s="9" t="s">
        <v>821</v>
      </c>
      <c r="G108" s="26" t="s">
        <v>822</v>
      </c>
    </row>
    <row r="109" customFormat="false" ht="21.75" hidden="false" customHeight="true" outlineLevel="0" collapsed="false">
      <c r="A109" s="9" t="s">
        <v>25</v>
      </c>
      <c r="B109" s="9" t="s">
        <v>823</v>
      </c>
      <c r="C109" s="9" t="s">
        <v>824</v>
      </c>
      <c r="D109" s="9" t="s">
        <v>825</v>
      </c>
      <c r="E109" s="9" t="s">
        <v>826</v>
      </c>
      <c r="F109" s="9" t="s">
        <v>827</v>
      </c>
      <c r="G109" s="26" t="s">
        <v>828</v>
      </c>
    </row>
    <row r="110" customFormat="false" ht="27.75" hidden="false" customHeight="true" outlineLevel="0" collapsed="false">
      <c r="A110" s="9" t="s">
        <v>25</v>
      </c>
      <c r="B110" s="9" t="s">
        <v>438</v>
      </c>
      <c r="C110" s="9" t="s">
        <v>829</v>
      </c>
      <c r="D110" s="9" t="s">
        <v>830</v>
      </c>
      <c r="E110" s="9" t="s">
        <v>831</v>
      </c>
      <c r="F110" s="9" t="s">
        <v>832</v>
      </c>
      <c r="G110" s="26" t="s">
        <v>833</v>
      </c>
    </row>
    <row r="111" customFormat="false" ht="21.75" hidden="false" customHeight="true" outlineLevel="0" collapsed="false">
      <c r="A111" s="9" t="s">
        <v>25</v>
      </c>
      <c r="B111" s="9" t="s">
        <v>834</v>
      </c>
      <c r="C111" s="9" t="s">
        <v>835</v>
      </c>
      <c r="D111" s="9" t="s">
        <v>350</v>
      </c>
      <c r="E111" s="9" t="s">
        <v>836</v>
      </c>
      <c r="F111" s="9" t="s">
        <v>837</v>
      </c>
      <c r="G111" s="26" t="s">
        <v>838</v>
      </c>
    </row>
    <row r="112" customFormat="false" ht="27.75" hidden="false" customHeight="true" outlineLevel="0" collapsed="false">
      <c r="A112" s="9" t="s">
        <v>25</v>
      </c>
      <c r="B112" s="9" t="s">
        <v>302</v>
      </c>
      <c r="C112" s="9" t="s">
        <v>839</v>
      </c>
      <c r="D112" s="9" t="s">
        <v>840</v>
      </c>
      <c r="E112" s="9" t="s">
        <v>841</v>
      </c>
      <c r="F112" s="9" t="s">
        <v>842</v>
      </c>
      <c r="G112" s="26" t="s">
        <v>843</v>
      </c>
    </row>
    <row r="113" customFormat="false" ht="27.75" hidden="false" customHeight="true" outlineLevel="0" collapsed="false">
      <c r="A113" s="9" t="s">
        <v>25</v>
      </c>
      <c r="B113" s="9" t="s">
        <v>844</v>
      </c>
      <c r="C113" s="9" t="s">
        <v>845</v>
      </c>
      <c r="D113" s="9" t="s">
        <v>326</v>
      </c>
      <c r="E113" s="9" t="s">
        <v>846</v>
      </c>
      <c r="F113" s="9" t="s">
        <v>847</v>
      </c>
      <c r="G113" s="26" t="s">
        <v>843</v>
      </c>
    </row>
    <row r="114" customFormat="false" ht="27.75" hidden="false" customHeight="true" outlineLevel="0" collapsed="false">
      <c r="A114" s="9" t="s">
        <v>25</v>
      </c>
      <c r="B114" s="9" t="s">
        <v>409</v>
      </c>
      <c r="C114" s="9" t="s">
        <v>848</v>
      </c>
      <c r="D114" s="9" t="s">
        <v>326</v>
      </c>
      <c r="E114" s="9" t="s">
        <v>849</v>
      </c>
      <c r="F114" s="9" t="s">
        <v>850</v>
      </c>
      <c r="G114" s="26" t="s">
        <v>843</v>
      </c>
    </row>
    <row r="115" customFormat="false" ht="27.75" hidden="false" customHeight="true" outlineLevel="0" collapsed="false">
      <c r="A115" s="9" t="s">
        <v>18</v>
      </c>
      <c r="B115" s="9" t="s">
        <v>851</v>
      </c>
      <c r="C115" s="9" t="s">
        <v>852</v>
      </c>
      <c r="D115" s="9" t="s">
        <v>338</v>
      </c>
      <c r="E115" s="9" t="s">
        <v>853</v>
      </c>
      <c r="F115" s="9" t="s">
        <v>854</v>
      </c>
      <c r="G115" s="26" t="s">
        <v>855</v>
      </c>
    </row>
    <row r="116" customFormat="false" ht="21.75" hidden="false" customHeight="true" outlineLevel="0" collapsed="false">
      <c r="A116" s="9" t="s">
        <v>18</v>
      </c>
      <c r="B116" s="9" t="s">
        <v>438</v>
      </c>
      <c r="C116" s="9" t="s">
        <v>856</v>
      </c>
      <c r="D116" s="9" t="s">
        <v>857</v>
      </c>
      <c r="E116" s="9" t="s">
        <v>858</v>
      </c>
      <c r="F116" s="9" t="s">
        <v>859</v>
      </c>
      <c r="G116" s="26" t="s">
        <v>154</v>
      </c>
    </row>
    <row r="117" customFormat="false" ht="21.75" hidden="false" customHeight="true" outlineLevel="0" collapsed="false">
      <c r="A117" s="9" t="s">
        <v>18</v>
      </c>
      <c r="B117" s="9" t="s">
        <v>302</v>
      </c>
      <c r="C117" s="9" t="s">
        <v>860</v>
      </c>
      <c r="D117" s="9" t="s">
        <v>416</v>
      </c>
      <c r="E117" s="9" t="s">
        <v>861</v>
      </c>
      <c r="F117" s="9" t="s">
        <v>862</v>
      </c>
      <c r="G117" s="26" t="s">
        <v>863</v>
      </c>
    </row>
    <row r="118" customFormat="false" ht="21.75" hidden="false" customHeight="true" outlineLevel="0" collapsed="false">
      <c r="A118" s="9" t="s">
        <v>18</v>
      </c>
      <c r="B118" s="9" t="s">
        <v>279</v>
      </c>
      <c r="C118" s="9" t="s">
        <v>864</v>
      </c>
      <c r="D118" s="9" t="s">
        <v>660</v>
      </c>
      <c r="E118" s="9" t="s">
        <v>865</v>
      </c>
      <c r="F118" s="9" t="s">
        <v>866</v>
      </c>
      <c r="G118" s="26" t="s">
        <v>632</v>
      </c>
    </row>
    <row r="119" customFormat="false" ht="21.75" hidden="false" customHeight="true" outlineLevel="0" collapsed="false">
      <c r="A119" s="9" t="s">
        <v>18</v>
      </c>
      <c r="B119" s="9" t="s">
        <v>279</v>
      </c>
      <c r="C119" s="9" t="s">
        <v>867</v>
      </c>
      <c r="D119" s="9" t="s">
        <v>868</v>
      </c>
      <c r="E119" s="9" t="s">
        <v>869</v>
      </c>
      <c r="F119" s="9" t="s">
        <v>870</v>
      </c>
      <c r="G119" s="26" t="s">
        <v>871</v>
      </c>
    </row>
    <row r="120" customFormat="false" ht="21.75" hidden="false" customHeight="true" outlineLevel="0" collapsed="false">
      <c r="A120" s="9" t="s">
        <v>18</v>
      </c>
      <c r="B120" s="9" t="s">
        <v>438</v>
      </c>
      <c r="C120" s="9" t="s">
        <v>872</v>
      </c>
      <c r="D120" s="9" t="s">
        <v>873</v>
      </c>
      <c r="E120" s="9" t="s">
        <v>874</v>
      </c>
      <c r="F120" s="9" t="s">
        <v>875</v>
      </c>
      <c r="G120" s="26" t="s">
        <v>154</v>
      </c>
    </row>
    <row r="121" customFormat="false" ht="32.25" hidden="false" customHeight="true" outlineLevel="0" collapsed="false">
      <c r="A121" s="9" t="s">
        <v>18</v>
      </c>
      <c r="B121" s="9" t="s">
        <v>876</v>
      </c>
      <c r="C121" s="9" t="s">
        <v>877</v>
      </c>
      <c r="D121" s="9" t="s">
        <v>878</v>
      </c>
      <c r="E121" s="9" t="s">
        <v>879</v>
      </c>
      <c r="F121" s="9" t="s">
        <v>880</v>
      </c>
      <c r="G121" s="26" t="s">
        <v>881</v>
      </c>
    </row>
    <row r="122" customFormat="false" ht="32.25" hidden="false" customHeight="true" outlineLevel="0" collapsed="false">
      <c r="A122" s="9" t="s">
        <v>18</v>
      </c>
      <c r="B122" s="9" t="s">
        <v>882</v>
      </c>
      <c r="C122" s="9" t="s">
        <v>883</v>
      </c>
      <c r="D122" s="9" t="s">
        <v>884</v>
      </c>
      <c r="E122" s="9" t="s">
        <v>885</v>
      </c>
      <c r="F122" s="9" t="s">
        <v>886</v>
      </c>
      <c r="G122" s="26" t="s">
        <v>887</v>
      </c>
    </row>
    <row r="123" customFormat="false" ht="21.75" hidden="false" customHeight="true" outlineLevel="0" collapsed="false">
      <c r="A123" s="9" t="s">
        <v>18</v>
      </c>
      <c r="B123" s="9" t="s">
        <v>888</v>
      </c>
      <c r="C123" s="9" t="s">
        <v>889</v>
      </c>
      <c r="D123" s="9" t="s">
        <v>890</v>
      </c>
      <c r="E123" s="9" t="s">
        <v>891</v>
      </c>
      <c r="F123" s="9" t="s">
        <v>892</v>
      </c>
      <c r="G123" s="26" t="s">
        <v>893</v>
      </c>
    </row>
    <row r="124" customFormat="false" ht="21.75" hidden="false" customHeight="true" outlineLevel="0" collapsed="false">
      <c r="A124" s="9" t="s">
        <v>18</v>
      </c>
      <c r="B124" s="9" t="s">
        <v>894</v>
      </c>
      <c r="C124" s="9" t="s">
        <v>895</v>
      </c>
      <c r="D124" s="9" t="s">
        <v>896</v>
      </c>
      <c r="E124" s="9" t="s">
        <v>897</v>
      </c>
      <c r="F124" s="9" t="s">
        <v>898</v>
      </c>
      <c r="G124" s="26" t="s">
        <v>899</v>
      </c>
    </row>
    <row r="125" customFormat="false" ht="21.75" hidden="false" customHeight="true" outlineLevel="0" collapsed="false">
      <c r="A125" s="9" t="s">
        <v>18</v>
      </c>
      <c r="B125" s="9" t="s">
        <v>380</v>
      </c>
      <c r="C125" s="9" t="s">
        <v>900</v>
      </c>
      <c r="D125" s="9" t="s">
        <v>890</v>
      </c>
      <c r="E125" s="9" t="s">
        <v>901</v>
      </c>
      <c r="F125" s="9" t="s">
        <v>902</v>
      </c>
      <c r="G125" s="26" t="s">
        <v>903</v>
      </c>
    </row>
    <row r="126" customFormat="false" ht="21.75" hidden="false" customHeight="true" outlineLevel="0" collapsed="false">
      <c r="A126" s="9" t="s">
        <v>18</v>
      </c>
      <c r="B126" s="9" t="s">
        <v>844</v>
      </c>
      <c r="C126" s="9" t="s">
        <v>904</v>
      </c>
      <c r="D126" s="9" t="s">
        <v>905</v>
      </c>
      <c r="E126" s="9" t="s">
        <v>906</v>
      </c>
      <c r="F126" s="9" t="s">
        <v>907</v>
      </c>
      <c r="G126" s="26" t="s">
        <v>908</v>
      </c>
    </row>
    <row r="127" customFormat="false" ht="32.25" hidden="false" customHeight="true" outlineLevel="0" collapsed="false">
      <c r="A127" s="9" t="s">
        <v>18</v>
      </c>
      <c r="B127" s="9" t="s">
        <v>844</v>
      </c>
      <c r="C127" s="9" t="s">
        <v>909</v>
      </c>
      <c r="D127" s="9" t="s">
        <v>660</v>
      </c>
      <c r="E127" s="9" t="s">
        <v>910</v>
      </c>
      <c r="F127" s="9" t="s">
        <v>911</v>
      </c>
      <c r="G127" s="26" t="s">
        <v>912</v>
      </c>
    </row>
    <row r="128" customFormat="false" ht="32.25" hidden="false" customHeight="true" outlineLevel="0" collapsed="false">
      <c r="A128" s="9" t="s">
        <v>18</v>
      </c>
      <c r="B128" s="9" t="s">
        <v>279</v>
      </c>
      <c r="C128" s="9" t="s">
        <v>913</v>
      </c>
      <c r="D128" s="9" t="s">
        <v>416</v>
      </c>
      <c r="E128" s="9" t="s">
        <v>914</v>
      </c>
      <c r="F128" s="9" t="s">
        <v>915</v>
      </c>
      <c r="G128" s="26" t="s">
        <v>916</v>
      </c>
    </row>
    <row r="129" customFormat="false" ht="21.75" hidden="false" customHeight="true" outlineLevel="0" collapsed="false">
      <c r="A129" s="9" t="s">
        <v>18</v>
      </c>
      <c r="B129" s="9" t="s">
        <v>279</v>
      </c>
      <c r="C129" s="9" t="s">
        <v>917</v>
      </c>
      <c r="D129" s="9" t="s">
        <v>416</v>
      </c>
      <c r="E129" s="9" t="s">
        <v>918</v>
      </c>
      <c r="F129" s="9" t="s">
        <v>919</v>
      </c>
      <c r="G129" s="26" t="s">
        <v>666</v>
      </c>
    </row>
    <row r="130" customFormat="false" ht="21.75" hidden="false" customHeight="true" outlineLevel="0" collapsed="false">
      <c r="A130" s="9" t="s">
        <v>18</v>
      </c>
      <c r="B130" s="9" t="s">
        <v>920</v>
      </c>
      <c r="C130" s="9" t="s">
        <v>921</v>
      </c>
      <c r="D130" s="9" t="s">
        <v>868</v>
      </c>
      <c r="E130" s="9" t="s">
        <v>922</v>
      </c>
      <c r="F130" s="9" t="s">
        <v>923</v>
      </c>
      <c r="G130" s="26" t="s">
        <v>924</v>
      </c>
    </row>
    <row r="131" customFormat="false" ht="21.75" hidden="false" customHeight="true" outlineLevel="0" collapsed="false">
      <c r="A131" s="9" t="s">
        <v>18</v>
      </c>
      <c r="B131" s="9" t="s">
        <v>438</v>
      </c>
      <c r="C131" s="9" t="s">
        <v>925</v>
      </c>
      <c r="D131" s="9" t="s">
        <v>926</v>
      </c>
      <c r="E131" s="9" t="s">
        <v>927</v>
      </c>
      <c r="F131" s="9" t="s">
        <v>928</v>
      </c>
      <c r="G131" s="26" t="s">
        <v>929</v>
      </c>
    </row>
    <row r="132" customFormat="false" ht="32.25" hidden="false" customHeight="true" outlineLevel="0" collapsed="false">
      <c r="A132" s="9" t="s">
        <v>19</v>
      </c>
      <c r="B132" s="9" t="s">
        <v>930</v>
      </c>
      <c r="C132" s="9" t="s">
        <v>931</v>
      </c>
      <c r="D132" s="9" t="s">
        <v>326</v>
      </c>
      <c r="E132" s="9" t="s">
        <v>932</v>
      </c>
      <c r="F132" s="9" t="s">
        <v>933</v>
      </c>
      <c r="G132" s="26" t="s">
        <v>934</v>
      </c>
    </row>
    <row r="133" customFormat="false" ht="21.75" hidden="false" customHeight="true" outlineLevel="0" collapsed="false">
      <c r="A133" s="9" t="s">
        <v>19</v>
      </c>
      <c r="B133" s="9" t="s">
        <v>930</v>
      </c>
      <c r="C133" s="9" t="s">
        <v>935</v>
      </c>
      <c r="D133" s="9" t="s">
        <v>936</v>
      </c>
      <c r="E133" s="9" t="s">
        <v>937</v>
      </c>
      <c r="F133" s="9" t="s">
        <v>938</v>
      </c>
      <c r="G133" s="26" t="s">
        <v>939</v>
      </c>
    </row>
    <row r="134" customFormat="false" ht="21.75" hidden="false" customHeight="true" outlineLevel="0" collapsed="false">
      <c r="A134" s="9" t="s">
        <v>19</v>
      </c>
      <c r="B134" s="9" t="s">
        <v>438</v>
      </c>
      <c r="C134" s="9" t="s">
        <v>940</v>
      </c>
      <c r="D134" s="9" t="s">
        <v>941</v>
      </c>
      <c r="E134" s="9" t="s">
        <v>942</v>
      </c>
      <c r="F134" s="9" t="s">
        <v>943</v>
      </c>
      <c r="G134" s="26" t="s">
        <v>944</v>
      </c>
    </row>
    <row r="135" customFormat="false" ht="21.75" hidden="false" customHeight="true" outlineLevel="0" collapsed="false">
      <c r="A135" s="9" t="s">
        <v>19</v>
      </c>
      <c r="B135" s="9" t="s">
        <v>279</v>
      </c>
      <c r="C135" s="9" t="s">
        <v>945</v>
      </c>
      <c r="D135" s="9" t="s">
        <v>660</v>
      </c>
      <c r="E135" s="9" t="s">
        <v>946</v>
      </c>
      <c r="F135" s="9" t="s">
        <v>947</v>
      </c>
      <c r="G135" s="26" t="s">
        <v>948</v>
      </c>
    </row>
    <row r="136" customFormat="false" ht="21.75" hidden="false" customHeight="true" outlineLevel="0" collapsed="false">
      <c r="A136" s="9" t="s">
        <v>19</v>
      </c>
      <c r="B136" s="9" t="s">
        <v>428</v>
      </c>
      <c r="C136" s="9" t="s">
        <v>949</v>
      </c>
      <c r="D136" s="9" t="s">
        <v>660</v>
      </c>
      <c r="E136" s="9" t="s">
        <v>950</v>
      </c>
      <c r="F136" s="9" t="s">
        <v>951</v>
      </c>
      <c r="G136" s="26" t="s">
        <v>952</v>
      </c>
    </row>
    <row r="137" customFormat="false" ht="21.75" hidden="false" customHeight="true" outlineLevel="0" collapsed="false">
      <c r="A137" s="9" t="s">
        <v>19</v>
      </c>
      <c r="B137" s="9" t="s">
        <v>953</v>
      </c>
      <c r="C137" s="9" t="s">
        <v>954</v>
      </c>
      <c r="D137" s="9" t="s">
        <v>955</v>
      </c>
      <c r="E137" s="9" t="s">
        <v>956</v>
      </c>
      <c r="F137" s="9" t="s">
        <v>957</v>
      </c>
      <c r="G137" s="26" t="s">
        <v>958</v>
      </c>
    </row>
    <row r="138" customFormat="false" ht="32.25" hidden="false" customHeight="true" outlineLevel="0" collapsed="false">
      <c r="A138" s="9" t="s">
        <v>19</v>
      </c>
      <c r="B138" s="9" t="s">
        <v>302</v>
      </c>
      <c r="C138" s="9" t="s">
        <v>959</v>
      </c>
      <c r="D138" s="9" t="s">
        <v>960</v>
      </c>
      <c r="E138" s="9" t="s">
        <v>961</v>
      </c>
      <c r="F138" s="9" t="s">
        <v>962</v>
      </c>
      <c r="G138" s="26" t="s">
        <v>963</v>
      </c>
    </row>
    <row r="139" customFormat="false" ht="21.75" hidden="false" customHeight="true" outlineLevel="0" collapsed="false">
      <c r="A139" s="9" t="s">
        <v>19</v>
      </c>
      <c r="B139" s="9" t="s">
        <v>279</v>
      </c>
      <c r="C139" s="9" t="s">
        <v>964</v>
      </c>
      <c r="D139" s="9" t="s">
        <v>416</v>
      </c>
      <c r="E139" s="9" t="s">
        <v>965</v>
      </c>
      <c r="F139" s="9" t="s">
        <v>966</v>
      </c>
      <c r="G139" s="26" t="s">
        <v>809</v>
      </c>
    </row>
    <row r="140" customFormat="false" ht="21.75" hidden="false" customHeight="true" outlineLevel="0" collapsed="false">
      <c r="A140" s="9" t="s">
        <v>19</v>
      </c>
      <c r="B140" s="9" t="s">
        <v>920</v>
      </c>
      <c r="C140" s="9" t="s">
        <v>967</v>
      </c>
      <c r="D140" s="9" t="s">
        <v>326</v>
      </c>
      <c r="E140" s="9" t="s">
        <v>968</v>
      </c>
      <c r="F140" s="9" t="s">
        <v>969</v>
      </c>
      <c r="G140" s="26" t="s">
        <v>970</v>
      </c>
    </row>
    <row r="141" customFormat="false" ht="21.75" hidden="false" customHeight="true" outlineLevel="0" collapsed="false">
      <c r="A141" s="9" t="s">
        <v>24</v>
      </c>
      <c r="B141" s="9" t="s">
        <v>279</v>
      </c>
      <c r="C141" s="9" t="s">
        <v>971</v>
      </c>
      <c r="D141" s="9" t="s">
        <v>972</v>
      </c>
      <c r="E141" s="9" t="s">
        <v>973</v>
      </c>
      <c r="F141" s="9" t="s">
        <v>974</v>
      </c>
      <c r="G141" s="26" t="s">
        <v>975</v>
      </c>
    </row>
    <row r="142" customFormat="false" ht="21.75" hidden="false" customHeight="true" outlineLevel="0" collapsed="false">
      <c r="A142" s="9" t="s">
        <v>24</v>
      </c>
      <c r="B142" s="9" t="s">
        <v>279</v>
      </c>
      <c r="C142" s="9" t="s">
        <v>976</v>
      </c>
      <c r="D142" s="9" t="s">
        <v>977</v>
      </c>
      <c r="E142" s="9" t="s">
        <v>978</v>
      </c>
      <c r="F142" s="9" t="s">
        <v>979</v>
      </c>
      <c r="G142" s="26" t="s">
        <v>980</v>
      </c>
    </row>
    <row r="143" customFormat="false" ht="21.75" hidden="false" customHeight="true" outlineLevel="0" collapsed="false">
      <c r="A143" s="9" t="s">
        <v>24</v>
      </c>
      <c r="B143" s="9" t="s">
        <v>279</v>
      </c>
      <c r="C143" s="9" t="s">
        <v>981</v>
      </c>
      <c r="D143" s="9" t="s">
        <v>982</v>
      </c>
      <c r="E143" s="9" t="s">
        <v>983</v>
      </c>
      <c r="F143" s="9" t="s">
        <v>984</v>
      </c>
      <c r="G143" s="26" t="s">
        <v>985</v>
      </c>
    </row>
    <row r="144" customFormat="false" ht="21.75" hidden="false" customHeight="true" outlineLevel="0" collapsed="false">
      <c r="A144" s="9" t="s">
        <v>24</v>
      </c>
      <c r="B144" s="9" t="s">
        <v>438</v>
      </c>
      <c r="C144" s="9" t="s">
        <v>986</v>
      </c>
      <c r="D144" s="9" t="s">
        <v>987</v>
      </c>
      <c r="E144" s="9" t="s">
        <v>988</v>
      </c>
      <c r="F144" s="9" t="s">
        <v>989</v>
      </c>
      <c r="G144" s="26" t="s">
        <v>990</v>
      </c>
    </row>
    <row r="145" customFormat="false" ht="21.75" hidden="false" customHeight="true" outlineLevel="0" collapsed="false">
      <c r="A145" s="9" t="s">
        <v>24</v>
      </c>
      <c r="B145" s="9" t="s">
        <v>302</v>
      </c>
      <c r="C145" s="9" t="s">
        <v>991</v>
      </c>
      <c r="D145" s="9" t="s">
        <v>992</v>
      </c>
      <c r="E145" s="9" t="s">
        <v>993</v>
      </c>
      <c r="F145" s="9" t="s">
        <v>994</v>
      </c>
      <c r="G145" s="26" t="s">
        <v>990</v>
      </c>
    </row>
    <row r="146" customFormat="false" ht="21.75" hidden="false" customHeight="true" outlineLevel="0" collapsed="false">
      <c r="A146" s="9" t="s">
        <v>24</v>
      </c>
      <c r="B146" s="9" t="s">
        <v>438</v>
      </c>
      <c r="C146" s="9" t="s">
        <v>995</v>
      </c>
      <c r="D146" s="9" t="s">
        <v>996</v>
      </c>
      <c r="E146" s="9" t="s">
        <v>997</v>
      </c>
      <c r="F146" s="9" t="s">
        <v>998</v>
      </c>
      <c r="G146" s="26" t="s">
        <v>990</v>
      </c>
    </row>
    <row r="147" customFormat="false" ht="21.75" hidden="false" customHeight="true" outlineLevel="0" collapsed="false">
      <c r="A147" s="9" t="s">
        <v>24</v>
      </c>
      <c r="B147" s="9" t="s">
        <v>953</v>
      </c>
      <c r="C147" s="9" t="s">
        <v>999</v>
      </c>
      <c r="D147" s="9" t="s">
        <v>1000</v>
      </c>
      <c r="E147" s="9" t="s">
        <v>1001</v>
      </c>
      <c r="F147" s="9" t="s">
        <v>1002</v>
      </c>
      <c r="G147" s="26" t="s">
        <v>1003</v>
      </c>
    </row>
    <row r="148" customFormat="false" ht="32.25" hidden="false" customHeight="true" outlineLevel="0" collapsed="false">
      <c r="A148" s="9" t="s">
        <v>24</v>
      </c>
      <c r="B148" s="9" t="s">
        <v>438</v>
      </c>
      <c r="C148" s="9" t="s">
        <v>1004</v>
      </c>
      <c r="D148" s="9" t="s">
        <v>1005</v>
      </c>
      <c r="E148" s="9" t="s">
        <v>1006</v>
      </c>
      <c r="F148" s="9" t="s">
        <v>1007</v>
      </c>
      <c r="G148" s="26" t="s">
        <v>1008</v>
      </c>
    </row>
    <row r="149" customFormat="false" ht="32.25" hidden="false" customHeight="true" outlineLevel="0" collapsed="false">
      <c r="A149" s="9" t="s">
        <v>24</v>
      </c>
      <c r="B149" s="9" t="s">
        <v>438</v>
      </c>
      <c r="C149" s="9" t="s">
        <v>1009</v>
      </c>
      <c r="D149" s="9" t="s">
        <v>1010</v>
      </c>
      <c r="E149" s="9" t="s">
        <v>1011</v>
      </c>
      <c r="F149" s="9" t="s">
        <v>1012</v>
      </c>
      <c r="G149" s="26" t="s">
        <v>1013</v>
      </c>
    </row>
    <row r="150" customFormat="false" ht="21.75" hidden="false" customHeight="true" outlineLevel="0" collapsed="false">
      <c r="A150" s="9" t="s">
        <v>24</v>
      </c>
      <c r="B150" s="9" t="s">
        <v>1014</v>
      </c>
      <c r="C150" s="9" t="s">
        <v>1015</v>
      </c>
      <c r="D150" s="9" t="s">
        <v>1016</v>
      </c>
      <c r="E150" s="9" t="s">
        <v>1017</v>
      </c>
      <c r="F150" s="9" t="s">
        <v>1018</v>
      </c>
      <c r="G150" s="26" t="s">
        <v>1019</v>
      </c>
    </row>
    <row r="151" customFormat="false" ht="21.75" hidden="false" customHeight="true" outlineLevel="0" collapsed="false">
      <c r="A151" s="9" t="s">
        <v>24</v>
      </c>
      <c r="B151" s="9" t="s">
        <v>1020</v>
      </c>
      <c r="C151" s="9" t="s">
        <v>1021</v>
      </c>
      <c r="D151" s="9" t="s">
        <v>391</v>
      </c>
      <c r="E151" s="9" t="s">
        <v>1022</v>
      </c>
      <c r="F151" s="9" t="s">
        <v>1023</v>
      </c>
      <c r="G151" s="26" t="s">
        <v>1024</v>
      </c>
    </row>
    <row r="152" customFormat="false" ht="21.75" hidden="false" customHeight="true" outlineLevel="0" collapsed="false">
      <c r="A152" s="9" t="s">
        <v>24</v>
      </c>
      <c r="B152" s="9" t="s">
        <v>1025</v>
      </c>
      <c r="C152" s="9" t="s">
        <v>1026</v>
      </c>
      <c r="D152" s="9" t="s">
        <v>1027</v>
      </c>
      <c r="E152" s="9" t="s">
        <v>1028</v>
      </c>
      <c r="F152" s="9" t="s">
        <v>1029</v>
      </c>
      <c r="G152" s="26" t="s">
        <v>1030</v>
      </c>
    </row>
    <row r="153" customFormat="false" ht="27.75" hidden="false" customHeight="true" outlineLevel="0" collapsed="false">
      <c r="A153" s="9" t="s">
        <v>26</v>
      </c>
      <c r="B153" s="9" t="s">
        <v>279</v>
      </c>
      <c r="C153" s="9" t="s">
        <v>1031</v>
      </c>
      <c r="D153" s="9" t="s">
        <v>1032</v>
      </c>
      <c r="E153" s="9" t="s">
        <v>1033</v>
      </c>
      <c r="F153" s="9" t="s">
        <v>1034</v>
      </c>
      <c r="G153" s="26" t="s">
        <v>1035</v>
      </c>
    </row>
    <row r="154" customFormat="false" ht="21.75" hidden="false" customHeight="true" outlineLevel="0" collapsed="false">
      <c r="A154" s="9" t="s">
        <v>26</v>
      </c>
      <c r="B154" s="9" t="s">
        <v>1036</v>
      </c>
      <c r="C154" s="9" t="s">
        <v>1037</v>
      </c>
      <c r="D154" s="9" t="s">
        <v>326</v>
      </c>
      <c r="E154" s="9" t="s">
        <v>1038</v>
      </c>
      <c r="F154" s="9" t="s">
        <v>1039</v>
      </c>
      <c r="G154" s="26" t="s">
        <v>970</v>
      </c>
    </row>
    <row r="155" customFormat="false" ht="32.25" hidden="false" customHeight="true" outlineLevel="0" collapsed="false">
      <c r="A155" s="9" t="s">
        <v>26</v>
      </c>
      <c r="B155" s="9" t="s">
        <v>1040</v>
      </c>
      <c r="C155" s="9" t="s">
        <v>1041</v>
      </c>
      <c r="D155" s="9" t="s">
        <v>1042</v>
      </c>
      <c r="E155" s="9" t="s">
        <v>1043</v>
      </c>
      <c r="F155" s="9" t="s">
        <v>1044</v>
      </c>
      <c r="G155" s="26" t="s">
        <v>1045</v>
      </c>
    </row>
    <row r="156" customFormat="false" ht="21.75" hidden="false" customHeight="true" outlineLevel="0" collapsed="false">
      <c r="A156" s="9" t="s">
        <v>26</v>
      </c>
      <c r="B156" s="9" t="s">
        <v>279</v>
      </c>
      <c r="C156" s="9" t="s">
        <v>1046</v>
      </c>
      <c r="D156" s="9" t="s">
        <v>1047</v>
      </c>
      <c r="E156" s="9" t="s">
        <v>1048</v>
      </c>
      <c r="F156" s="9" t="s">
        <v>1049</v>
      </c>
      <c r="G156" s="26" t="s">
        <v>1050</v>
      </c>
    </row>
    <row r="157" customFormat="false" ht="42.75" hidden="false" customHeight="true" outlineLevel="0" collapsed="false">
      <c r="A157" s="9" t="s">
        <v>26</v>
      </c>
      <c r="B157" s="9" t="s">
        <v>428</v>
      </c>
      <c r="C157" s="9" t="s">
        <v>1051</v>
      </c>
      <c r="D157" s="9" t="s">
        <v>416</v>
      </c>
      <c r="E157" s="9" t="s">
        <v>1052</v>
      </c>
      <c r="F157" s="9" t="s">
        <v>1053</v>
      </c>
      <c r="G157" s="26" t="s">
        <v>1054</v>
      </c>
    </row>
    <row r="158" customFormat="false" ht="21.75" hidden="false" customHeight="true" outlineLevel="0" collapsed="false">
      <c r="A158" s="9" t="s">
        <v>26</v>
      </c>
      <c r="B158" s="9" t="s">
        <v>438</v>
      </c>
      <c r="C158" s="9" t="s">
        <v>1055</v>
      </c>
      <c r="D158" s="9" t="s">
        <v>1056</v>
      </c>
      <c r="E158" s="9" t="s">
        <v>1057</v>
      </c>
      <c r="F158" s="9" t="s">
        <v>1058</v>
      </c>
      <c r="G158" s="26" t="s">
        <v>1059</v>
      </c>
    </row>
    <row r="159" customFormat="false" ht="21.75" hidden="false" customHeight="true" outlineLevel="0" collapsed="false">
      <c r="A159" s="9" t="s">
        <v>26</v>
      </c>
      <c r="B159" s="9" t="s">
        <v>920</v>
      </c>
      <c r="C159" s="9" t="s">
        <v>1060</v>
      </c>
      <c r="D159" s="9" t="s">
        <v>326</v>
      </c>
      <c r="E159" s="9" t="s">
        <v>1061</v>
      </c>
      <c r="F159" s="9" t="s">
        <v>1062</v>
      </c>
      <c r="G159" s="26" t="s">
        <v>970</v>
      </c>
    </row>
    <row r="160" customFormat="false" ht="21.75" hidden="false" customHeight="true" outlineLevel="0" collapsed="false">
      <c r="A160" s="9" t="s">
        <v>27</v>
      </c>
      <c r="B160" s="9" t="s">
        <v>428</v>
      </c>
      <c r="C160" s="9" t="s">
        <v>1063</v>
      </c>
      <c r="D160" s="9" t="s">
        <v>1064</v>
      </c>
      <c r="E160" s="9" t="s">
        <v>1065</v>
      </c>
      <c r="F160" s="9" t="s">
        <v>1066</v>
      </c>
      <c r="G160" s="26" t="s">
        <v>1067</v>
      </c>
    </row>
    <row r="161" customFormat="false" ht="32.25" hidden="false" customHeight="true" outlineLevel="0" collapsed="false">
      <c r="A161" s="9" t="s">
        <v>27</v>
      </c>
      <c r="B161" s="9" t="s">
        <v>428</v>
      </c>
      <c r="C161" s="9" t="s">
        <v>1068</v>
      </c>
      <c r="D161" s="9" t="s">
        <v>416</v>
      </c>
      <c r="E161" s="9" t="s">
        <v>1069</v>
      </c>
      <c r="F161" s="9" t="s">
        <v>1070</v>
      </c>
      <c r="G161" s="26" t="s">
        <v>1071</v>
      </c>
    </row>
    <row r="162" customFormat="false" ht="32.25" hidden="false" customHeight="true" outlineLevel="0" collapsed="false">
      <c r="A162" s="9" t="s">
        <v>27</v>
      </c>
      <c r="B162" s="9" t="s">
        <v>302</v>
      </c>
      <c r="C162" s="9" t="s">
        <v>1072</v>
      </c>
      <c r="D162" s="9" t="s">
        <v>1073</v>
      </c>
      <c r="E162" s="9" t="s">
        <v>1074</v>
      </c>
      <c r="F162" s="9" t="s">
        <v>1075</v>
      </c>
      <c r="G162" s="26" t="s">
        <v>1076</v>
      </c>
    </row>
    <row r="163" customFormat="false" ht="21.75" hidden="false" customHeight="true" outlineLevel="0" collapsed="false">
      <c r="A163" s="9" t="s">
        <v>27</v>
      </c>
      <c r="B163" s="9" t="s">
        <v>1077</v>
      </c>
      <c r="C163" s="9" t="s">
        <v>1078</v>
      </c>
      <c r="D163" s="9" t="s">
        <v>1079</v>
      </c>
      <c r="E163" s="9" t="s">
        <v>1080</v>
      </c>
      <c r="F163" s="9" t="s">
        <v>1081</v>
      </c>
      <c r="G163" s="26" t="s">
        <v>1082</v>
      </c>
    </row>
    <row r="164" customFormat="false" ht="21.75" hidden="false" customHeight="true" outlineLevel="0" collapsed="false">
      <c r="A164" s="9" t="s">
        <v>27</v>
      </c>
      <c r="B164" s="9" t="s">
        <v>279</v>
      </c>
      <c r="C164" s="9" t="s">
        <v>1083</v>
      </c>
      <c r="D164" s="9" t="s">
        <v>1084</v>
      </c>
      <c r="E164" s="9" t="s">
        <v>1085</v>
      </c>
      <c r="F164" s="9" t="s">
        <v>1086</v>
      </c>
      <c r="G164" s="26" t="s">
        <v>1087</v>
      </c>
    </row>
    <row r="165" customFormat="false" ht="21.75" hidden="false" customHeight="true" outlineLevel="0" collapsed="false">
      <c r="A165" s="9" t="s">
        <v>27</v>
      </c>
      <c r="B165" s="9" t="s">
        <v>428</v>
      </c>
      <c r="C165" s="9" t="s">
        <v>1088</v>
      </c>
      <c r="D165" s="9" t="s">
        <v>660</v>
      </c>
      <c r="E165" s="9" t="s">
        <v>1089</v>
      </c>
      <c r="F165" s="9" t="s">
        <v>1090</v>
      </c>
      <c r="G165" s="26" t="s">
        <v>1091</v>
      </c>
    </row>
    <row r="166" customFormat="false" ht="21.75" hidden="false" customHeight="true" outlineLevel="0" collapsed="false">
      <c r="A166" s="9" t="s">
        <v>27</v>
      </c>
      <c r="B166" s="9" t="s">
        <v>279</v>
      </c>
      <c r="C166" s="9" t="s">
        <v>945</v>
      </c>
      <c r="D166" s="9" t="s">
        <v>660</v>
      </c>
      <c r="E166" s="9" t="s">
        <v>1092</v>
      </c>
      <c r="F166" s="9" t="s">
        <v>1093</v>
      </c>
      <c r="G166" s="26" t="s">
        <v>948</v>
      </c>
    </row>
    <row r="167" customFormat="false" ht="21.75" hidden="false" customHeight="true" outlineLevel="0" collapsed="false">
      <c r="A167" s="9" t="s">
        <v>27</v>
      </c>
      <c r="B167" s="9" t="s">
        <v>1094</v>
      </c>
      <c r="C167" s="9" t="s">
        <v>1095</v>
      </c>
      <c r="D167" s="9" t="s">
        <v>1096</v>
      </c>
      <c r="E167" s="9" t="s">
        <v>1097</v>
      </c>
      <c r="F167" s="9" t="s">
        <v>1098</v>
      </c>
      <c r="G167" s="26" t="s">
        <v>1099</v>
      </c>
    </row>
    <row r="168" customFormat="false" ht="32.25" hidden="false" customHeight="true" outlineLevel="0" collapsed="false">
      <c r="A168" s="9" t="s">
        <v>27</v>
      </c>
      <c r="B168" s="9" t="s">
        <v>1100</v>
      </c>
      <c r="C168" s="9" t="s">
        <v>1101</v>
      </c>
      <c r="D168" s="9" t="s">
        <v>1027</v>
      </c>
      <c r="E168" s="9" t="s">
        <v>1102</v>
      </c>
      <c r="F168" s="9" t="s">
        <v>1103</v>
      </c>
      <c r="G168" s="26" t="s">
        <v>1104</v>
      </c>
    </row>
    <row r="169" customFormat="false" ht="21.75" hidden="false" customHeight="true" outlineLevel="0" collapsed="false">
      <c r="A169" s="9" t="s">
        <v>27</v>
      </c>
      <c r="B169" s="9" t="s">
        <v>359</v>
      </c>
      <c r="C169" s="9" t="s">
        <v>1105</v>
      </c>
      <c r="D169" s="9" t="s">
        <v>1106</v>
      </c>
      <c r="E169" s="9" t="s">
        <v>1107</v>
      </c>
      <c r="F169" s="9" t="s">
        <v>1108</v>
      </c>
      <c r="G169" s="26" t="s">
        <v>1109</v>
      </c>
    </row>
    <row r="170" customFormat="false" ht="21.75" hidden="false" customHeight="true" outlineLevel="0" collapsed="false">
      <c r="A170" s="9" t="s">
        <v>27</v>
      </c>
      <c r="B170" s="9" t="s">
        <v>524</v>
      </c>
      <c r="C170" s="9" t="s">
        <v>1072</v>
      </c>
      <c r="D170" s="9" t="s">
        <v>840</v>
      </c>
      <c r="E170" s="9" t="s">
        <v>1110</v>
      </c>
      <c r="F170" s="9" t="s">
        <v>1111</v>
      </c>
      <c r="G170" s="26" t="s">
        <v>1112</v>
      </c>
    </row>
    <row r="171" customFormat="false" ht="21.75" hidden="false" customHeight="true" outlineLevel="0" collapsed="false">
      <c r="A171" s="9" t="s">
        <v>27</v>
      </c>
      <c r="B171" s="9" t="s">
        <v>1113</v>
      </c>
      <c r="C171" s="9" t="s">
        <v>1114</v>
      </c>
      <c r="D171" s="9" t="s">
        <v>1115</v>
      </c>
      <c r="E171" s="9" t="s">
        <v>1116</v>
      </c>
      <c r="F171" s="9" t="s">
        <v>1117</v>
      </c>
      <c r="G171" s="26" t="s">
        <v>1118</v>
      </c>
    </row>
    <row r="172" customFormat="false" ht="32.25" hidden="false" customHeight="true" outlineLevel="0" collapsed="false">
      <c r="A172" s="9" t="s">
        <v>34</v>
      </c>
      <c r="B172" s="9" t="s">
        <v>428</v>
      </c>
      <c r="C172" s="9" t="s">
        <v>1119</v>
      </c>
      <c r="D172" s="9" t="s">
        <v>338</v>
      </c>
      <c r="E172" s="9" t="s">
        <v>1120</v>
      </c>
      <c r="F172" s="9" t="s">
        <v>1121</v>
      </c>
      <c r="G172" s="26" t="s">
        <v>1122</v>
      </c>
    </row>
    <row r="173" customFormat="false" ht="21.75" hidden="false" customHeight="true" outlineLevel="0" collapsed="false">
      <c r="A173" s="9" t="s">
        <v>34</v>
      </c>
      <c r="B173" s="9" t="s">
        <v>428</v>
      </c>
      <c r="C173" s="9" t="s">
        <v>1123</v>
      </c>
      <c r="D173" s="9" t="s">
        <v>416</v>
      </c>
      <c r="E173" s="9" t="s">
        <v>1124</v>
      </c>
      <c r="F173" s="9" t="s">
        <v>1125</v>
      </c>
      <c r="G173" s="26" t="s">
        <v>1126</v>
      </c>
    </row>
    <row r="174" customFormat="false" ht="32.25" hidden="false" customHeight="true" outlineLevel="0" collapsed="false">
      <c r="A174" s="9" t="s">
        <v>34</v>
      </c>
      <c r="B174" s="9" t="s">
        <v>279</v>
      </c>
      <c r="C174" s="9" t="s">
        <v>1127</v>
      </c>
      <c r="D174" s="9" t="s">
        <v>416</v>
      </c>
      <c r="E174" s="9" t="s">
        <v>1128</v>
      </c>
      <c r="F174" s="9" t="s">
        <v>1129</v>
      </c>
      <c r="G174" s="26" t="s">
        <v>1130</v>
      </c>
    </row>
    <row r="175" customFormat="false" ht="21.75" hidden="false" customHeight="true" outlineLevel="0" collapsed="false">
      <c r="A175" s="9" t="s">
        <v>34</v>
      </c>
      <c r="B175" s="9" t="s">
        <v>557</v>
      </c>
      <c r="C175" s="9" t="s">
        <v>1131</v>
      </c>
      <c r="D175" s="9" t="s">
        <v>660</v>
      </c>
      <c r="E175" s="9" t="s">
        <v>1132</v>
      </c>
      <c r="F175" s="9" t="s">
        <v>1133</v>
      </c>
      <c r="G175" s="26" t="s">
        <v>1134</v>
      </c>
    </row>
    <row r="176" customFormat="false" ht="21.75" hidden="false" customHeight="true" outlineLevel="0" collapsed="false">
      <c r="A176" s="9" t="s">
        <v>34</v>
      </c>
      <c r="B176" s="9" t="s">
        <v>279</v>
      </c>
      <c r="C176" s="9" t="s">
        <v>917</v>
      </c>
      <c r="D176" s="9" t="s">
        <v>416</v>
      </c>
      <c r="E176" s="9" t="s">
        <v>1135</v>
      </c>
      <c r="F176" s="9" t="s">
        <v>1136</v>
      </c>
      <c r="G176" s="26" t="s">
        <v>666</v>
      </c>
    </row>
    <row r="177" customFormat="false" ht="21.75" hidden="false" customHeight="true" outlineLevel="0" collapsed="false">
      <c r="A177" s="9" t="s">
        <v>34</v>
      </c>
      <c r="B177" s="9" t="s">
        <v>438</v>
      </c>
      <c r="C177" s="9" t="s">
        <v>1137</v>
      </c>
      <c r="D177" s="9" t="s">
        <v>873</v>
      </c>
      <c r="E177" s="9" t="s">
        <v>1138</v>
      </c>
      <c r="F177" s="9" t="s">
        <v>1139</v>
      </c>
      <c r="G177" s="26" t="s">
        <v>1140</v>
      </c>
    </row>
    <row r="178" customFormat="false" ht="21.75" hidden="false" customHeight="true" outlineLevel="0" collapsed="false">
      <c r="A178" s="9" t="s">
        <v>34</v>
      </c>
      <c r="B178" s="9" t="s">
        <v>1141</v>
      </c>
      <c r="C178" s="9" t="s">
        <v>1142</v>
      </c>
      <c r="D178" s="9" t="s">
        <v>416</v>
      </c>
      <c r="E178" s="9" t="s">
        <v>1143</v>
      </c>
      <c r="F178" s="9" t="s">
        <v>1144</v>
      </c>
      <c r="G178" s="26" t="s">
        <v>1145</v>
      </c>
    </row>
    <row r="179" customFormat="false" ht="21.75" hidden="false" customHeight="true" outlineLevel="0" collapsed="false">
      <c r="A179" s="9" t="s">
        <v>34</v>
      </c>
      <c r="B179" s="9" t="s">
        <v>1146</v>
      </c>
      <c r="C179" s="9" t="s">
        <v>1147</v>
      </c>
      <c r="D179" s="9" t="s">
        <v>425</v>
      </c>
      <c r="E179" s="9" t="s">
        <v>1148</v>
      </c>
      <c r="F179" s="9" t="s">
        <v>1149</v>
      </c>
      <c r="G179" s="26" t="s">
        <v>1150</v>
      </c>
    </row>
    <row r="180" customFormat="false" ht="32.25" hidden="false" customHeight="true" outlineLevel="0" collapsed="false">
      <c r="A180" s="9" t="s">
        <v>34</v>
      </c>
      <c r="B180" s="9" t="s">
        <v>1151</v>
      </c>
      <c r="C180" s="9" t="s">
        <v>1152</v>
      </c>
      <c r="D180" s="9" t="s">
        <v>416</v>
      </c>
      <c r="E180" s="9" t="s">
        <v>1153</v>
      </c>
      <c r="F180" s="9" t="s">
        <v>1154</v>
      </c>
      <c r="G180" s="26" t="s">
        <v>1155</v>
      </c>
    </row>
    <row r="181" customFormat="false" ht="21.75" hidden="false" customHeight="true" outlineLevel="0" collapsed="false">
      <c r="A181" s="9" t="s">
        <v>34</v>
      </c>
      <c r="B181" s="9" t="s">
        <v>1156</v>
      </c>
      <c r="C181" s="9" t="s">
        <v>1157</v>
      </c>
      <c r="D181" s="9" t="s">
        <v>416</v>
      </c>
      <c r="E181" s="9" t="s">
        <v>1158</v>
      </c>
      <c r="F181" s="9" t="s">
        <v>1159</v>
      </c>
      <c r="G181" s="26" t="s">
        <v>1126</v>
      </c>
    </row>
    <row r="182" customFormat="false" ht="32.25" hidden="false" customHeight="true" outlineLevel="0" collapsed="false">
      <c r="A182" s="9" t="s">
        <v>34</v>
      </c>
      <c r="B182" s="9" t="s">
        <v>1156</v>
      </c>
      <c r="C182" s="9" t="s">
        <v>1160</v>
      </c>
      <c r="D182" s="9" t="s">
        <v>416</v>
      </c>
      <c r="E182" s="9" t="s">
        <v>1161</v>
      </c>
      <c r="F182" s="9" t="s">
        <v>1162</v>
      </c>
      <c r="G182" s="26" t="s">
        <v>1163</v>
      </c>
    </row>
    <row r="183" customFormat="false" ht="32.25" hidden="false" customHeight="true" outlineLevel="0" collapsed="false">
      <c r="A183" s="9" t="s">
        <v>34</v>
      </c>
      <c r="B183" s="9" t="s">
        <v>1164</v>
      </c>
      <c r="C183" s="9" t="s">
        <v>1165</v>
      </c>
      <c r="D183" s="9" t="s">
        <v>731</v>
      </c>
      <c r="E183" s="9" t="s">
        <v>1166</v>
      </c>
      <c r="F183" s="9" t="s">
        <v>1167</v>
      </c>
      <c r="G183" s="26" t="s">
        <v>1168</v>
      </c>
    </row>
    <row r="184" customFormat="false" ht="32.25" hidden="false" customHeight="true" outlineLevel="0" collapsed="false">
      <c r="A184" s="9" t="s">
        <v>34</v>
      </c>
      <c r="B184" s="9" t="s">
        <v>1169</v>
      </c>
      <c r="C184" s="9" t="s">
        <v>1170</v>
      </c>
      <c r="D184" s="9" t="s">
        <v>456</v>
      </c>
      <c r="E184" s="9" t="s">
        <v>1171</v>
      </c>
      <c r="F184" s="9" t="s">
        <v>1172</v>
      </c>
      <c r="G184" s="26" t="s">
        <v>1122</v>
      </c>
    </row>
    <row r="185" customFormat="false" ht="21.75" hidden="false" customHeight="true" outlineLevel="0" collapsed="false">
      <c r="A185" s="9" t="s">
        <v>34</v>
      </c>
      <c r="B185" s="9" t="s">
        <v>851</v>
      </c>
      <c r="C185" s="9" t="s">
        <v>1173</v>
      </c>
      <c r="D185" s="9" t="s">
        <v>1174</v>
      </c>
      <c r="E185" s="9" t="s">
        <v>1175</v>
      </c>
      <c r="F185" s="9" t="s">
        <v>1176</v>
      </c>
      <c r="G185" s="26" t="s">
        <v>1177</v>
      </c>
    </row>
    <row r="186" customFormat="false" ht="21.75" hidden="false" customHeight="true" outlineLevel="0" collapsed="false">
      <c r="A186" s="9" t="s">
        <v>36</v>
      </c>
      <c r="B186" s="9" t="s">
        <v>1178</v>
      </c>
      <c r="C186" s="9" t="s">
        <v>1179</v>
      </c>
      <c r="D186" s="9" t="s">
        <v>292</v>
      </c>
      <c r="E186" s="9" t="s">
        <v>1180</v>
      </c>
      <c r="F186" s="9" t="s">
        <v>1181</v>
      </c>
      <c r="G186" s="26" t="s">
        <v>1182</v>
      </c>
    </row>
    <row r="187" customFormat="false" ht="21.75" hidden="false" customHeight="true" outlineLevel="0" collapsed="false">
      <c r="A187" s="9" t="s">
        <v>36</v>
      </c>
      <c r="B187" s="9" t="s">
        <v>438</v>
      </c>
      <c r="C187" s="9" t="s">
        <v>1183</v>
      </c>
      <c r="D187" s="9" t="s">
        <v>1184</v>
      </c>
      <c r="E187" s="9" t="s">
        <v>1185</v>
      </c>
      <c r="F187" s="9" t="s">
        <v>1186</v>
      </c>
      <c r="G187" s="26" t="s">
        <v>1187</v>
      </c>
    </row>
    <row r="188" customFormat="false" ht="21.75" hidden="false" customHeight="true" outlineLevel="0" collapsed="false">
      <c r="A188" s="9" t="s">
        <v>36</v>
      </c>
      <c r="B188" s="9" t="s">
        <v>438</v>
      </c>
      <c r="C188" s="9" t="s">
        <v>1188</v>
      </c>
      <c r="D188" s="9" t="s">
        <v>416</v>
      </c>
      <c r="E188" s="9" t="s">
        <v>1189</v>
      </c>
      <c r="F188" s="9" t="s">
        <v>1190</v>
      </c>
      <c r="G188" s="26" t="s">
        <v>1191</v>
      </c>
    </row>
    <row r="189" customFormat="false" ht="32.25" hidden="false" customHeight="true" outlineLevel="0" collapsed="false">
      <c r="A189" s="9" t="s">
        <v>36</v>
      </c>
      <c r="B189" s="9" t="s">
        <v>438</v>
      </c>
      <c r="C189" s="9" t="s">
        <v>1192</v>
      </c>
      <c r="D189" s="9" t="s">
        <v>873</v>
      </c>
      <c r="E189" s="9" t="s">
        <v>1193</v>
      </c>
      <c r="F189" s="9" t="s">
        <v>1194</v>
      </c>
      <c r="G189" s="26" t="s">
        <v>197</v>
      </c>
    </row>
    <row r="190" customFormat="false" ht="21.75" hidden="false" customHeight="true" outlineLevel="0" collapsed="false">
      <c r="A190" s="9" t="s">
        <v>36</v>
      </c>
      <c r="B190" s="9" t="s">
        <v>438</v>
      </c>
      <c r="C190" s="9" t="s">
        <v>1195</v>
      </c>
      <c r="D190" s="9" t="s">
        <v>926</v>
      </c>
      <c r="E190" s="9" t="s">
        <v>1196</v>
      </c>
      <c r="F190" s="9" t="s">
        <v>1197</v>
      </c>
      <c r="G190" s="26" t="s">
        <v>1198</v>
      </c>
    </row>
    <row r="191" customFormat="false" ht="32.25" hidden="false" customHeight="true" outlineLevel="0" collapsed="false">
      <c r="A191" s="9" t="s">
        <v>38</v>
      </c>
      <c r="B191" s="9" t="s">
        <v>1199</v>
      </c>
      <c r="C191" s="9" t="s">
        <v>1200</v>
      </c>
      <c r="D191" s="9" t="s">
        <v>416</v>
      </c>
      <c r="E191" s="9" t="s">
        <v>1201</v>
      </c>
      <c r="F191" s="9" t="s">
        <v>1202</v>
      </c>
      <c r="G191" s="26" t="s">
        <v>1203</v>
      </c>
    </row>
    <row r="192" customFormat="false" ht="21.75" hidden="false" customHeight="true" outlineLevel="0" collapsed="false">
      <c r="A192" s="9" t="s">
        <v>38</v>
      </c>
      <c r="B192" s="9" t="s">
        <v>438</v>
      </c>
      <c r="C192" s="9" t="s">
        <v>1204</v>
      </c>
      <c r="D192" s="9" t="s">
        <v>416</v>
      </c>
      <c r="E192" s="9" t="s">
        <v>1205</v>
      </c>
      <c r="F192" s="9" t="s">
        <v>1206</v>
      </c>
      <c r="G192" s="26" t="s">
        <v>1207</v>
      </c>
    </row>
    <row r="193" customFormat="false" ht="21.75" hidden="false" customHeight="true" outlineLevel="0" collapsed="false">
      <c r="A193" s="9" t="s">
        <v>38</v>
      </c>
      <c r="B193" s="9" t="s">
        <v>438</v>
      </c>
      <c r="C193" s="9" t="s">
        <v>1208</v>
      </c>
      <c r="D193" s="9" t="s">
        <v>281</v>
      </c>
      <c r="E193" s="9" t="s">
        <v>1209</v>
      </c>
      <c r="F193" s="9" t="s">
        <v>1210</v>
      </c>
      <c r="G193" s="26" t="s">
        <v>1211</v>
      </c>
    </row>
    <row r="194" customFormat="false" ht="21.75" hidden="false" customHeight="true" outlineLevel="0" collapsed="false">
      <c r="A194" s="9" t="s">
        <v>38</v>
      </c>
      <c r="B194" s="9" t="s">
        <v>438</v>
      </c>
      <c r="C194" s="9" t="s">
        <v>1212</v>
      </c>
      <c r="D194" s="9" t="s">
        <v>873</v>
      </c>
      <c r="E194" s="9" t="s">
        <v>1213</v>
      </c>
      <c r="F194" s="9" t="s">
        <v>1214</v>
      </c>
      <c r="G194" s="26" t="s">
        <v>1215</v>
      </c>
    </row>
    <row r="195" customFormat="false" ht="32.25" hidden="false" customHeight="true" outlineLevel="0" collapsed="false">
      <c r="A195" s="9" t="s">
        <v>38</v>
      </c>
      <c r="B195" s="9" t="s">
        <v>438</v>
      </c>
      <c r="C195" s="9" t="s">
        <v>1216</v>
      </c>
      <c r="D195" s="9" t="s">
        <v>1217</v>
      </c>
      <c r="E195" s="9" t="s">
        <v>1218</v>
      </c>
      <c r="F195" s="9" t="s">
        <v>1219</v>
      </c>
      <c r="G195" s="26" t="s">
        <v>1220</v>
      </c>
    </row>
    <row r="196" customFormat="false" ht="32.25" hidden="false" customHeight="true" outlineLevel="0" collapsed="false">
      <c r="A196" s="9" t="s">
        <v>41</v>
      </c>
      <c r="B196" s="9" t="s">
        <v>1221</v>
      </c>
      <c r="C196" s="9" t="s">
        <v>1222</v>
      </c>
      <c r="D196" s="9" t="s">
        <v>878</v>
      </c>
      <c r="E196" s="9" t="s">
        <v>1223</v>
      </c>
      <c r="F196" s="9" t="s">
        <v>1224</v>
      </c>
      <c r="G196" s="26" t="s">
        <v>1225</v>
      </c>
    </row>
    <row r="197" customFormat="false" ht="32.25" hidden="false" customHeight="true" outlineLevel="0" collapsed="false">
      <c r="A197" s="9" t="s">
        <v>41</v>
      </c>
      <c r="B197" s="9" t="s">
        <v>438</v>
      </c>
      <c r="C197" s="9" t="s">
        <v>1226</v>
      </c>
      <c r="D197" s="9" t="s">
        <v>1184</v>
      </c>
      <c r="E197" s="9" t="s">
        <v>1227</v>
      </c>
      <c r="F197" s="9" t="s">
        <v>1228</v>
      </c>
      <c r="G197" s="26" t="s">
        <v>1229</v>
      </c>
    </row>
    <row r="198" customFormat="false" ht="21.75" hidden="false" customHeight="true" outlineLevel="0" collapsed="false">
      <c r="A198" s="9" t="s">
        <v>41</v>
      </c>
      <c r="B198" s="9" t="s">
        <v>1230</v>
      </c>
      <c r="C198" s="9" t="s">
        <v>1231</v>
      </c>
      <c r="D198" s="9" t="s">
        <v>326</v>
      </c>
      <c r="E198" s="9" t="s">
        <v>1232</v>
      </c>
      <c r="F198" s="9" t="s">
        <v>1233</v>
      </c>
      <c r="G198" s="26" t="s">
        <v>1234</v>
      </c>
    </row>
    <row r="199" customFormat="false" ht="21.75" hidden="false" customHeight="true" outlineLevel="0" collapsed="false">
      <c r="A199" s="9" t="s">
        <v>41</v>
      </c>
      <c r="B199" s="9" t="s">
        <v>438</v>
      </c>
      <c r="C199" s="9" t="s">
        <v>1235</v>
      </c>
      <c r="D199" s="9" t="s">
        <v>660</v>
      </c>
      <c r="E199" s="9" t="s">
        <v>1236</v>
      </c>
      <c r="F199" s="9" t="s">
        <v>1237</v>
      </c>
      <c r="G199" s="26" t="s">
        <v>1234</v>
      </c>
    </row>
    <row r="200" customFormat="false" ht="21.75" hidden="false" customHeight="true" outlineLevel="0" collapsed="false">
      <c r="A200" s="9" t="s">
        <v>41</v>
      </c>
      <c r="B200" s="9" t="s">
        <v>438</v>
      </c>
      <c r="C200" s="9" t="s">
        <v>1238</v>
      </c>
      <c r="D200" s="9" t="s">
        <v>1239</v>
      </c>
      <c r="E200" s="9" t="s">
        <v>1240</v>
      </c>
      <c r="F200" s="9" t="s">
        <v>1241</v>
      </c>
      <c r="G200" s="26" t="s">
        <v>213</v>
      </c>
    </row>
    <row r="201" customFormat="false" ht="21.75" hidden="false" customHeight="true" outlineLevel="0" collapsed="false">
      <c r="A201" s="9" t="s">
        <v>44</v>
      </c>
      <c r="B201" s="9" t="s">
        <v>302</v>
      </c>
      <c r="C201" s="9" t="s">
        <v>1242</v>
      </c>
      <c r="D201" s="9" t="s">
        <v>416</v>
      </c>
      <c r="E201" s="9" t="s">
        <v>1243</v>
      </c>
      <c r="F201" s="9" t="s">
        <v>1244</v>
      </c>
      <c r="G201" s="26" t="s">
        <v>1245</v>
      </c>
    </row>
    <row r="202" customFormat="false" ht="21.75" hidden="false" customHeight="true" outlineLevel="0" collapsed="false">
      <c r="A202" s="9" t="s">
        <v>44</v>
      </c>
      <c r="B202" s="9" t="s">
        <v>389</v>
      </c>
      <c r="C202" s="9" t="s">
        <v>1246</v>
      </c>
      <c r="D202" s="9" t="s">
        <v>326</v>
      </c>
      <c r="E202" s="9" t="s">
        <v>1247</v>
      </c>
      <c r="F202" s="9" t="s">
        <v>1248</v>
      </c>
      <c r="G202" s="26" t="s">
        <v>1249</v>
      </c>
    </row>
    <row r="203" customFormat="false" ht="21.75" hidden="false" customHeight="true" outlineLevel="0" collapsed="false">
      <c r="A203" s="9" t="s">
        <v>44</v>
      </c>
      <c r="B203" s="9" t="s">
        <v>438</v>
      </c>
      <c r="C203" s="9" t="s">
        <v>1250</v>
      </c>
      <c r="D203" s="9" t="s">
        <v>401</v>
      </c>
      <c r="E203" s="9" t="s">
        <v>1251</v>
      </c>
      <c r="F203" s="9" t="s">
        <v>1252</v>
      </c>
      <c r="G203" s="26" t="s">
        <v>1249</v>
      </c>
    </row>
    <row r="204" customFormat="false" ht="21.75" hidden="false" customHeight="true" outlineLevel="0" collapsed="false">
      <c r="A204" s="9" t="s">
        <v>44</v>
      </c>
      <c r="B204" s="9" t="s">
        <v>438</v>
      </c>
      <c r="C204" s="9" t="s">
        <v>1253</v>
      </c>
      <c r="D204" s="9" t="s">
        <v>1254</v>
      </c>
      <c r="E204" s="9" t="s">
        <v>1255</v>
      </c>
      <c r="F204" s="9" t="s">
        <v>1256</v>
      </c>
      <c r="G204" s="26" t="s">
        <v>1257</v>
      </c>
    </row>
    <row r="205" customFormat="false" ht="21.75" hidden="false" customHeight="true" outlineLevel="0" collapsed="false">
      <c r="A205" s="9" t="s">
        <v>44</v>
      </c>
      <c r="B205" s="9" t="s">
        <v>279</v>
      </c>
      <c r="C205" s="9" t="s">
        <v>1258</v>
      </c>
      <c r="D205" s="9" t="s">
        <v>416</v>
      </c>
      <c r="E205" s="9" t="s">
        <v>1259</v>
      </c>
      <c r="F205" s="9" t="s">
        <v>1260</v>
      </c>
      <c r="G205" s="26" t="s">
        <v>916</v>
      </c>
    </row>
    <row r="206" customFormat="false" ht="21.75" hidden="false" customHeight="true" outlineLevel="0" collapsed="false">
      <c r="A206" s="9" t="s">
        <v>46</v>
      </c>
      <c r="B206" s="9" t="s">
        <v>438</v>
      </c>
      <c r="C206" s="9" t="s">
        <v>1261</v>
      </c>
      <c r="D206" s="9" t="s">
        <v>1027</v>
      </c>
      <c r="E206" s="9" t="s">
        <v>1262</v>
      </c>
      <c r="F206" s="9" t="s">
        <v>1263</v>
      </c>
      <c r="G206" s="26" t="s">
        <v>1264</v>
      </c>
    </row>
    <row r="207" customFormat="false" ht="32.25" hidden="false" customHeight="true" outlineLevel="0" collapsed="false">
      <c r="A207" s="9" t="s">
        <v>46</v>
      </c>
      <c r="B207" s="9" t="s">
        <v>1265</v>
      </c>
      <c r="C207" s="9" t="s">
        <v>1266</v>
      </c>
      <c r="D207" s="9" t="s">
        <v>1267</v>
      </c>
      <c r="E207" s="9" t="s">
        <v>1268</v>
      </c>
      <c r="F207" s="9" t="s">
        <v>1269</v>
      </c>
      <c r="G207" s="26" t="s">
        <v>1270</v>
      </c>
    </row>
    <row r="208" customFormat="false" ht="32.25" hidden="false" customHeight="true" outlineLevel="0" collapsed="false">
      <c r="A208" s="9" t="s">
        <v>46</v>
      </c>
      <c r="B208" s="9" t="s">
        <v>438</v>
      </c>
      <c r="C208" s="9" t="s">
        <v>1271</v>
      </c>
      <c r="D208" s="9" t="s">
        <v>1272</v>
      </c>
      <c r="E208" s="9" t="s">
        <v>1273</v>
      </c>
      <c r="F208" s="9" t="s">
        <v>1274</v>
      </c>
      <c r="G208" s="26" t="s">
        <v>1275</v>
      </c>
    </row>
    <row r="209" customFormat="false" ht="21.75" hidden="false" customHeight="true" outlineLevel="0" collapsed="false">
      <c r="A209" s="9" t="s">
        <v>46</v>
      </c>
      <c r="B209" s="9" t="s">
        <v>438</v>
      </c>
      <c r="C209" s="9" t="s">
        <v>1276</v>
      </c>
      <c r="D209" s="9" t="s">
        <v>873</v>
      </c>
      <c r="E209" s="9" t="s">
        <v>1277</v>
      </c>
      <c r="F209" s="9" t="s">
        <v>1278</v>
      </c>
      <c r="G209" s="26" t="s">
        <v>1279</v>
      </c>
    </row>
    <row r="210" customFormat="false" ht="21.75" hidden="false" customHeight="true" outlineLevel="0" collapsed="false">
      <c r="A210" s="9" t="s">
        <v>46</v>
      </c>
      <c r="B210" s="9" t="s">
        <v>438</v>
      </c>
      <c r="C210" s="9" t="s">
        <v>1280</v>
      </c>
      <c r="D210" s="9" t="s">
        <v>1281</v>
      </c>
      <c r="E210" s="9" t="s">
        <v>1282</v>
      </c>
      <c r="F210" s="9" t="s">
        <v>1283</v>
      </c>
      <c r="G210" s="26" t="s">
        <v>220</v>
      </c>
    </row>
    <row r="211" customFormat="false" ht="21.75" hidden="false" customHeight="true" outlineLevel="0" collapsed="false">
      <c r="A211" s="9" t="s">
        <v>48</v>
      </c>
      <c r="B211" s="9" t="s">
        <v>438</v>
      </c>
      <c r="C211" s="9" t="s">
        <v>1284</v>
      </c>
      <c r="D211" s="9" t="s">
        <v>1285</v>
      </c>
      <c r="E211" s="9" t="s">
        <v>1286</v>
      </c>
      <c r="F211" s="9" t="s">
        <v>1287</v>
      </c>
      <c r="G211" s="26" t="s">
        <v>1288</v>
      </c>
    </row>
    <row r="212" customFormat="false" ht="27.75" hidden="false" customHeight="true" outlineLevel="0" collapsed="false">
      <c r="A212" s="9" t="s">
        <v>48</v>
      </c>
      <c r="B212" s="9" t="s">
        <v>1289</v>
      </c>
      <c r="C212" s="9" t="s">
        <v>1290</v>
      </c>
      <c r="D212" s="9" t="s">
        <v>1291</v>
      </c>
      <c r="E212" s="9" t="s">
        <v>1292</v>
      </c>
      <c r="F212" s="9" t="s">
        <v>1293</v>
      </c>
      <c r="G212" s="26" t="s">
        <v>1294</v>
      </c>
    </row>
    <row r="213" customFormat="false" ht="21.75" hidden="false" customHeight="true" outlineLevel="0" collapsed="false">
      <c r="A213" s="9" t="s">
        <v>48</v>
      </c>
      <c r="B213" s="9" t="s">
        <v>438</v>
      </c>
      <c r="C213" s="9" t="s">
        <v>1295</v>
      </c>
      <c r="D213" s="9" t="s">
        <v>350</v>
      </c>
      <c r="E213" s="9" t="s">
        <v>1296</v>
      </c>
      <c r="F213" s="9" t="s">
        <v>1297</v>
      </c>
      <c r="G213" s="26" t="s">
        <v>225</v>
      </c>
    </row>
    <row r="214" customFormat="false" ht="32.25" hidden="false" customHeight="true" outlineLevel="0" collapsed="false">
      <c r="A214" s="9" t="s">
        <v>48</v>
      </c>
      <c r="B214" s="9" t="s">
        <v>438</v>
      </c>
      <c r="C214" s="9" t="s">
        <v>1298</v>
      </c>
      <c r="D214" s="9" t="s">
        <v>1299</v>
      </c>
      <c r="E214" s="9" t="s">
        <v>1300</v>
      </c>
      <c r="F214" s="9" t="s">
        <v>1301</v>
      </c>
      <c r="G214" s="26" t="s">
        <v>1302</v>
      </c>
    </row>
    <row r="215" customFormat="false" ht="21.75" hidden="false" customHeight="true" outlineLevel="0" collapsed="false">
      <c r="A215" s="9" t="s">
        <v>48</v>
      </c>
      <c r="B215" s="9" t="s">
        <v>438</v>
      </c>
      <c r="C215" s="9" t="s">
        <v>1303</v>
      </c>
      <c r="D215" s="9" t="s">
        <v>873</v>
      </c>
      <c r="E215" s="9" t="s">
        <v>1304</v>
      </c>
      <c r="F215" s="9" t="s">
        <v>1305</v>
      </c>
      <c r="G215" s="26" t="s">
        <v>1306</v>
      </c>
    </row>
    <row r="216" customFormat="false" ht="32.25" hidden="false" customHeight="true" outlineLevel="0" collapsed="false">
      <c r="A216" s="9" t="s">
        <v>48</v>
      </c>
      <c r="B216" s="9" t="s">
        <v>1020</v>
      </c>
      <c r="C216" s="9" t="s">
        <v>1307</v>
      </c>
      <c r="D216" s="9" t="s">
        <v>1308</v>
      </c>
      <c r="E216" s="9" t="s">
        <v>1309</v>
      </c>
      <c r="F216" s="9" t="s">
        <v>1310</v>
      </c>
      <c r="G216" s="26" t="s">
        <v>1311</v>
      </c>
    </row>
    <row r="217" customFormat="false" ht="42.75" hidden="false" customHeight="true" outlineLevel="0" collapsed="false">
      <c r="A217" s="9" t="s">
        <v>50</v>
      </c>
      <c r="B217" s="9" t="s">
        <v>1312</v>
      </c>
      <c r="C217" s="9" t="s">
        <v>1313</v>
      </c>
      <c r="D217" s="9" t="s">
        <v>1314</v>
      </c>
      <c r="E217" s="9" t="s">
        <v>1315</v>
      </c>
      <c r="F217" s="9" t="s">
        <v>1316</v>
      </c>
      <c r="G217" s="26" t="s">
        <v>1317</v>
      </c>
    </row>
    <row r="218" customFormat="false" ht="21.75" hidden="false" customHeight="true" outlineLevel="0" collapsed="false">
      <c r="A218" s="9" t="s">
        <v>50</v>
      </c>
      <c r="B218" s="9" t="s">
        <v>1318</v>
      </c>
      <c r="C218" s="9" t="s">
        <v>1319</v>
      </c>
      <c r="D218" s="9" t="s">
        <v>1320</v>
      </c>
      <c r="E218" s="9" t="s">
        <v>1321</v>
      </c>
      <c r="F218" s="9" t="s">
        <v>1322</v>
      </c>
      <c r="G218" s="26" t="s">
        <v>1323</v>
      </c>
    </row>
    <row r="219" customFormat="false" ht="21.75" hidden="false" customHeight="true" outlineLevel="0" collapsed="false">
      <c r="A219" s="9" t="s">
        <v>50</v>
      </c>
      <c r="B219" s="9" t="s">
        <v>438</v>
      </c>
      <c r="C219" s="9" t="s">
        <v>1324</v>
      </c>
      <c r="D219" s="9" t="s">
        <v>873</v>
      </c>
      <c r="E219" s="9" t="s">
        <v>1325</v>
      </c>
      <c r="F219" s="9" t="s">
        <v>1326</v>
      </c>
      <c r="G219" s="26" t="s">
        <v>1327</v>
      </c>
    </row>
    <row r="220" customFormat="false" ht="21.75" hidden="false" customHeight="true" outlineLevel="0" collapsed="false">
      <c r="A220" s="9" t="s">
        <v>50</v>
      </c>
      <c r="B220" s="9" t="s">
        <v>438</v>
      </c>
      <c r="C220" s="9" t="s">
        <v>1328</v>
      </c>
      <c r="D220" s="9" t="s">
        <v>873</v>
      </c>
      <c r="E220" s="9" t="s">
        <v>1329</v>
      </c>
      <c r="F220" s="9" t="s">
        <v>1330</v>
      </c>
      <c r="G220" s="26" t="s">
        <v>1331</v>
      </c>
    </row>
    <row r="221" customFormat="false" ht="32.25" hidden="false" customHeight="true" outlineLevel="0" collapsed="false">
      <c r="A221" s="9" t="s">
        <v>50</v>
      </c>
      <c r="B221" s="9" t="s">
        <v>438</v>
      </c>
      <c r="C221" s="9" t="s">
        <v>1332</v>
      </c>
      <c r="D221" s="9" t="s">
        <v>1333</v>
      </c>
      <c r="E221" s="9" t="s">
        <v>1334</v>
      </c>
      <c r="F221" s="9" t="s">
        <v>1335</v>
      </c>
      <c r="G221" s="26" t="s">
        <v>231</v>
      </c>
    </row>
    <row r="222" customFormat="false" ht="32.25" hidden="false" customHeight="true" outlineLevel="0" collapsed="false">
      <c r="A222" s="9" t="s">
        <v>52</v>
      </c>
      <c r="B222" s="9" t="s">
        <v>1336</v>
      </c>
      <c r="C222" s="9" t="s">
        <v>1337</v>
      </c>
      <c r="D222" s="9" t="s">
        <v>350</v>
      </c>
      <c r="E222" s="9" t="s">
        <v>1338</v>
      </c>
      <c r="F222" s="9" t="s">
        <v>1339</v>
      </c>
      <c r="G222" s="26" t="s">
        <v>236</v>
      </c>
    </row>
    <row r="223" customFormat="false" ht="21.75" hidden="false" customHeight="true" outlineLevel="0" collapsed="false">
      <c r="A223" s="9" t="s">
        <v>52</v>
      </c>
      <c r="B223" s="9" t="s">
        <v>438</v>
      </c>
      <c r="C223" s="9" t="s">
        <v>1340</v>
      </c>
      <c r="D223" s="9" t="s">
        <v>873</v>
      </c>
      <c r="E223" s="9" t="s">
        <v>1341</v>
      </c>
      <c r="F223" s="9" t="s">
        <v>1342</v>
      </c>
      <c r="G223" s="26" t="s">
        <v>1343</v>
      </c>
    </row>
    <row r="224" customFormat="false" ht="21.75" hidden="false" customHeight="true" outlineLevel="0" collapsed="false">
      <c r="A224" s="9" t="s">
        <v>52</v>
      </c>
      <c r="B224" s="9" t="s">
        <v>438</v>
      </c>
      <c r="C224" s="9" t="s">
        <v>1344</v>
      </c>
      <c r="D224" s="9" t="s">
        <v>1345</v>
      </c>
      <c r="E224" s="9" t="s">
        <v>1346</v>
      </c>
      <c r="F224" s="9" t="s">
        <v>1347</v>
      </c>
      <c r="G224" s="26" t="s">
        <v>1348</v>
      </c>
    </row>
    <row r="225" customFormat="false" ht="21.75" hidden="false" customHeight="true" outlineLevel="0" collapsed="false">
      <c r="A225" s="9" t="s">
        <v>52</v>
      </c>
      <c r="B225" s="9" t="s">
        <v>438</v>
      </c>
      <c r="C225" s="9" t="s">
        <v>1216</v>
      </c>
      <c r="D225" s="9" t="s">
        <v>1217</v>
      </c>
      <c r="E225" s="9" t="s">
        <v>1349</v>
      </c>
      <c r="F225" s="9" t="s">
        <v>1350</v>
      </c>
      <c r="G225" s="26" t="s">
        <v>1351</v>
      </c>
    </row>
    <row r="226" customFormat="false" ht="21.75" hidden="false" customHeight="true" outlineLevel="0" collapsed="false">
      <c r="A226" s="9" t="s">
        <v>52</v>
      </c>
      <c r="B226" s="9" t="s">
        <v>438</v>
      </c>
      <c r="C226" s="9" t="s">
        <v>1352</v>
      </c>
      <c r="D226" s="9" t="s">
        <v>391</v>
      </c>
      <c r="E226" s="9" t="s">
        <v>1353</v>
      </c>
      <c r="F226" s="9" t="s">
        <v>1354</v>
      </c>
      <c r="G226" s="26" t="s">
        <v>1355</v>
      </c>
    </row>
    <row r="227" customFormat="false" ht="21.75" hidden="false" customHeight="true" outlineLevel="0" collapsed="false">
      <c r="A227" s="9" t="s">
        <v>54</v>
      </c>
      <c r="B227" s="9" t="s">
        <v>1356</v>
      </c>
      <c r="C227" s="9" t="s">
        <v>1357</v>
      </c>
      <c r="D227" s="9" t="s">
        <v>350</v>
      </c>
      <c r="E227" s="9" t="s">
        <v>1358</v>
      </c>
      <c r="F227" s="9" t="s">
        <v>1359</v>
      </c>
      <c r="G227" s="26" t="s">
        <v>1360</v>
      </c>
    </row>
    <row r="228" customFormat="false" ht="32.25" hidden="false" customHeight="true" outlineLevel="0" collapsed="false">
      <c r="A228" s="9" t="s">
        <v>54</v>
      </c>
      <c r="B228" s="9" t="s">
        <v>438</v>
      </c>
      <c r="C228" s="9" t="s">
        <v>1361</v>
      </c>
      <c r="D228" s="9" t="s">
        <v>1362</v>
      </c>
      <c r="E228" s="9" t="s">
        <v>1363</v>
      </c>
      <c r="F228" s="9" t="s">
        <v>1364</v>
      </c>
      <c r="G228" s="26" t="s">
        <v>1365</v>
      </c>
    </row>
    <row r="229" customFormat="false" ht="21.75" hidden="false" customHeight="true" outlineLevel="0" collapsed="false">
      <c r="A229" s="9" t="s">
        <v>54</v>
      </c>
      <c r="B229" s="9" t="s">
        <v>438</v>
      </c>
      <c r="C229" s="9" t="s">
        <v>1366</v>
      </c>
      <c r="D229" s="9" t="s">
        <v>1184</v>
      </c>
      <c r="E229" s="9" t="s">
        <v>1367</v>
      </c>
      <c r="F229" s="9" t="s">
        <v>1368</v>
      </c>
      <c r="G229" s="26" t="s">
        <v>1369</v>
      </c>
    </row>
    <row r="230" customFormat="false" ht="21.75" hidden="false" customHeight="true" outlineLevel="0" collapsed="false">
      <c r="A230" s="9" t="s">
        <v>54</v>
      </c>
      <c r="B230" s="9" t="s">
        <v>296</v>
      </c>
      <c r="C230" s="9" t="s">
        <v>1370</v>
      </c>
      <c r="D230" s="9" t="s">
        <v>868</v>
      </c>
      <c r="E230" s="9" t="s">
        <v>1371</v>
      </c>
      <c r="F230" s="9" t="s">
        <v>1372</v>
      </c>
      <c r="G230" s="26" t="s">
        <v>1369</v>
      </c>
    </row>
    <row r="231" customFormat="false" ht="21.75" hidden="false" customHeight="true" outlineLevel="0" collapsed="false">
      <c r="A231" s="9" t="s">
        <v>54</v>
      </c>
      <c r="B231" s="9" t="s">
        <v>438</v>
      </c>
      <c r="C231" s="9" t="s">
        <v>1373</v>
      </c>
      <c r="D231" s="9" t="s">
        <v>873</v>
      </c>
      <c r="E231" s="9" t="s">
        <v>1374</v>
      </c>
      <c r="F231" s="9" t="s">
        <v>1375</v>
      </c>
      <c r="G231" s="26" t="s">
        <v>242</v>
      </c>
    </row>
    <row r="232" customFormat="false" ht="32.25" hidden="false" customHeight="true" outlineLevel="0" collapsed="false">
      <c r="A232" s="9" t="s">
        <v>55</v>
      </c>
      <c r="B232" s="9" t="s">
        <v>438</v>
      </c>
      <c r="C232" s="9" t="s">
        <v>1376</v>
      </c>
      <c r="D232" s="9" t="s">
        <v>1377</v>
      </c>
      <c r="E232" s="9" t="s">
        <v>1378</v>
      </c>
      <c r="F232" s="9" t="s">
        <v>1379</v>
      </c>
      <c r="G232" s="26" t="s">
        <v>1380</v>
      </c>
    </row>
    <row r="233" customFormat="false" ht="21.75" hidden="false" customHeight="true" outlineLevel="0" collapsed="false">
      <c r="A233" s="9" t="s">
        <v>55</v>
      </c>
      <c r="B233" s="9" t="s">
        <v>1381</v>
      </c>
      <c r="C233" s="9" t="s">
        <v>1382</v>
      </c>
      <c r="D233" s="9" t="s">
        <v>1383</v>
      </c>
      <c r="E233" s="9" t="s">
        <v>1384</v>
      </c>
      <c r="F233" s="9" t="s">
        <v>1385</v>
      </c>
      <c r="G233" s="26" t="s">
        <v>1380</v>
      </c>
    </row>
    <row r="234" customFormat="false" ht="32.25" hidden="false" customHeight="true" outlineLevel="0" collapsed="false">
      <c r="A234" s="9" t="s">
        <v>55</v>
      </c>
      <c r="B234" s="9" t="s">
        <v>438</v>
      </c>
      <c r="C234" s="9" t="s">
        <v>1386</v>
      </c>
      <c r="D234" s="9" t="s">
        <v>873</v>
      </c>
      <c r="E234" s="9" t="s">
        <v>1387</v>
      </c>
      <c r="F234" s="9" t="s">
        <v>1388</v>
      </c>
      <c r="G234" s="26" t="s">
        <v>1389</v>
      </c>
    </row>
    <row r="235" customFormat="false" ht="21.75" hidden="false" customHeight="true" outlineLevel="0" collapsed="false">
      <c r="A235" s="9" t="s">
        <v>55</v>
      </c>
      <c r="B235" s="9" t="s">
        <v>438</v>
      </c>
      <c r="C235" s="9" t="s">
        <v>1390</v>
      </c>
      <c r="D235" s="9" t="s">
        <v>873</v>
      </c>
      <c r="E235" s="9" t="s">
        <v>1391</v>
      </c>
      <c r="F235" s="9" t="s">
        <v>1392</v>
      </c>
      <c r="G235" s="26" t="s">
        <v>1393</v>
      </c>
    </row>
    <row r="236" customFormat="false" ht="21.75" hidden="false" customHeight="true" outlineLevel="0" collapsed="false">
      <c r="A236" s="9" t="s">
        <v>55</v>
      </c>
      <c r="B236" s="9" t="s">
        <v>438</v>
      </c>
      <c r="C236" s="9" t="s">
        <v>1394</v>
      </c>
      <c r="D236" s="9" t="s">
        <v>926</v>
      </c>
      <c r="E236" s="9" t="s">
        <v>1395</v>
      </c>
      <c r="F236" s="9" t="s">
        <v>1396</v>
      </c>
      <c r="G236" s="26" t="s">
        <v>246</v>
      </c>
    </row>
    <row r="237" customFormat="false" ht="21.75" hidden="false" customHeight="true" outlineLevel="0" collapsed="false">
      <c r="A237" s="9" t="s">
        <v>56</v>
      </c>
      <c r="B237" s="9" t="s">
        <v>438</v>
      </c>
      <c r="C237" s="9" t="s">
        <v>1397</v>
      </c>
      <c r="D237" s="9" t="s">
        <v>361</v>
      </c>
      <c r="E237" s="9" t="s">
        <v>1398</v>
      </c>
      <c r="F237" s="9" t="s">
        <v>1399</v>
      </c>
      <c r="G237" s="26" t="s">
        <v>1400</v>
      </c>
    </row>
    <row r="238" customFormat="false" ht="21.75" hidden="false" customHeight="true" outlineLevel="0" collapsed="false">
      <c r="A238" s="9" t="s">
        <v>56</v>
      </c>
      <c r="B238" s="9" t="s">
        <v>438</v>
      </c>
      <c r="C238" s="9" t="s">
        <v>1401</v>
      </c>
      <c r="D238" s="9" t="s">
        <v>1402</v>
      </c>
      <c r="E238" s="9" t="s">
        <v>1403</v>
      </c>
      <c r="F238" s="9" t="s">
        <v>1404</v>
      </c>
      <c r="G238" s="26" t="s">
        <v>1405</v>
      </c>
    </row>
    <row r="239" customFormat="false" ht="21.75" hidden="false" customHeight="true" outlineLevel="0" collapsed="false">
      <c r="A239" s="9" t="s">
        <v>56</v>
      </c>
      <c r="B239" s="9" t="s">
        <v>438</v>
      </c>
      <c r="C239" s="9" t="s">
        <v>1406</v>
      </c>
      <c r="D239" s="9" t="s">
        <v>1407</v>
      </c>
      <c r="E239" s="9" t="s">
        <v>1408</v>
      </c>
      <c r="F239" s="9" t="s">
        <v>1409</v>
      </c>
      <c r="G239" s="26" t="s">
        <v>1410</v>
      </c>
    </row>
    <row r="240" customFormat="false" ht="32.25" hidden="false" customHeight="true" outlineLevel="0" collapsed="false">
      <c r="A240" s="9" t="s">
        <v>56</v>
      </c>
      <c r="B240" s="9" t="s">
        <v>1411</v>
      </c>
      <c r="C240" s="9" t="s">
        <v>1412</v>
      </c>
      <c r="D240" s="9" t="s">
        <v>1239</v>
      </c>
      <c r="E240" s="9" t="s">
        <v>1413</v>
      </c>
      <c r="F240" s="9" t="s">
        <v>1414</v>
      </c>
      <c r="G240" s="26" t="s">
        <v>251</v>
      </c>
    </row>
    <row r="241" customFormat="false" ht="21.75" hidden="false" customHeight="true" outlineLevel="0" collapsed="false">
      <c r="A241" s="9" t="s">
        <v>56</v>
      </c>
      <c r="B241" s="9" t="s">
        <v>438</v>
      </c>
      <c r="C241" s="9" t="s">
        <v>1415</v>
      </c>
      <c r="D241" s="9" t="s">
        <v>391</v>
      </c>
      <c r="E241" s="9" t="s">
        <v>1416</v>
      </c>
      <c r="F241" s="9" t="s">
        <v>1417</v>
      </c>
      <c r="G241" s="26" t="s">
        <v>1418</v>
      </c>
    </row>
    <row r="242" customFormat="false" ht="32.25" hidden="false" customHeight="true" outlineLevel="0" collapsed="false">
      <c r="A242" s="9" t="s">
        <v>58</v>
      </c>
      <c r="B242" s="9" t="s">
        <v>1419</v>
      </c>
      <c r="C242" s="9" t="s">
        <v>1420</v>
      </c>
      <c r="D242" s="9" t="s">
        <v>416</v>
      </c>
      <c r="E242" s="9" t="s">
        <v>1421</v>
      </c>
      <c r="F242" s="9" t="s">
        <v>1422</v>
      </c>
      <c r="G242" s="26" t="s">
        <v>1423</v>
      </c>
    </row>
    <row r="243" customFormat="false" ht="32.25" hidden="false" customHeight="true" outlineLevel="0" collapsed="false">
      <c r="A243" s="9" t="s">
        <v>58</v>
      </c>
      <c r="B243" s="9" t="s">
        <v>1424</v>
      </c>
      <c r="C243" s="9" t="s">
        <v>1425</v>
      </c>
      <c r="D243" s="9" t="s">
        <v>1426</v>
      </c>
      <c r="E243" s="9" t="s">
        <v>1427</v>
      </c>
      <c r="F243" s="9" t="s">
        <v>1428</v>
      </c>
      <c r="G243" s="26" t="s">
        <v>259</v>
      </c>
    </row>
    <row r="244" customFormat="false" ht="32.25" hidden="false" customHeight="true" outlineLevel="0" collapsed="false">
      <c r="A244" s="9" t="s">
        <v>58</v>
      </c>
      <c r="B244" s="9" t="s">
        <v>438</v>
      </c>
      <c r="C244" s="9" t="s">
        <v>1429</v>
      </c>
      <c r="D244" s="9" t="s">
        <v>873</v>
      </c>
      <c r="E244" s="9" t="s">
        <v>1430</v>
      </c>
      <c r="F244" s="9" t="s">
        <v>1431</v>
      </c>
      <c r="G244" s="26" t="s">
        <v>1432</v>
      </c>
    </row>
    <row r="245" customFormat="false" ht="21.75" hidden="false" customHeight="true" outlineLevel="0" collapsed="false">
      <c r="A245" s="9" t="s">
        <v>58</v>
      </c>
      <c r="B245" s="9" t="s">
        <v>438</v>
      </c>
      <c r="C245" s="9" t="s">
        <v>1433</v>
      </c>
      <c r="D245" s="9" t="s">
        <v>1434</v>
      </c>
      <c r="E245" s="9" t="s">
        <v>1435</v>
      </c>
      <c r="F245" s="9" t="s">
        <v>1436</v>
      </c>
      <c r="G245" s="26" t="s">
        <v>1437</v>
      </c>
    </row>
    <row r="246" customFormat="false" ht="32.25" hidden="false" customHeight="true" outlineLevel="0" collapsed="false">
      <c r="A246" s="9" t="s">
        <v>58</v>
      </c>
      <c r="B246" s="9" t="s">
        <v>1438</v>
      </c>
      <c r="C246" s="9" t="s">
        <v>1439</v>
      </c>
      <c r="D246" s="9" t="s">
        <v>416</v>
      </c>
      <c r="E246" s="9" t="s">
        <v>1440</v>
      </c>
      <c r="F246" s="9" t="s">
        <v>1441</v>
      </c>
      <c r="G246" s="26" t="s">
        <v>1442</v>
      </c>
    </row>
    <row r="247" customFormat="false" ht="21.75" hidden="false" customHeight="true" outlineLevel="0" collapsed="false">
      <c r="A247" s="9" t="s">
        <v>58</v>
      </c>
      <c r="B247" s="9" t="s">
        <v>1443</v>
      </c>
      <c r="C247" s="9" t="s">
        <v>1444</v>
      </c>
      <c r="D247" s="9" t="s">
        <v>416</v>
      </c>
      <c r="E247" s="9" t="s">
        <v>1445</v>
      </c>
      <c r="F247" s="9" t="s">
        <v>1446</v>
      </c>
      <c r="G247" s="26" t="s">
        <v>1447</v>
      </c>
    </row>
    <row r="248" customFormat="false" ht="21.75" hidden="false" customHeight="true" outlineLevel="0" collapsed="false">
      <c r="A248" s="9" t="s">
        <v>58</v>
      </c>
      <c r="B248" s="9" t="s">
        <v>1448</v>
      </c>
      <c r="C248" s="9" t="s">
        <v>1449</v>
      </c>
      <c r="D248" s="9" t="s">
        <v>416</v>
      </c>
      <c r="E248" s="9" t="s">
        <v>1450</v>
      </c>
      <c r="F248" s="9" t="s">
        <v>1451</v>
      </c>
      <c r="G248" s="26" t="s">
        <v>1452</v>
      </c>
    </row>
    <row r="249" customFormat="false" ht="21.75" hidden="false" customHeight="true" outlineLevel="0" collapsed="false">
      <c r="A249" s="9" t="s">
        <v>58</v>
      </c>
      <c r="B249" s="9" t="s">
        <v>1453</v>
      </c>
      <c r="C249" s="9" t="s">
        <v>1454</v>
      </c>
      <c r="D249" s="9" t="s">
        <v>416</v>
      </c>
      <c r="E249" s="9" t="s">
        <v>1455</v>
      </c>
      <c r="F249" s="9" t="s">
        <v>1456</v>
      </c>
      <c r="G249" s="26" t="s">
        <v>1457</v>
      </c>
    </row>
    <row r="250" customFormat="false" ht="21.75" hidden="false" customHeight="true" outlineLevel="0" collapsed="false">
      <c r="A250" s="9" t="s">
        <v>58</v>
      </c>
      <c r="B250" s="9" t="s">
        <v>740</v>
      </c>
      <c r="C250" s="9" t="s">
        <v>1458</v>
      </c>
      <c r="D250" s="9" t="s">
        <v>416</v>
      </c>
      <c r="E250" s="9" t="s">
        <v>1459</v>
      </c>
      <c r="F250" s="9" t="s">
        <v>1460</v>
      </c>
      <c r="G250" s="26" t="s">
        <v>1461</v>
      </c>
    </row>
    <row r="251" customFormat="false" ht="21.75" hidden="false" customHeight="true" outlineLevel="0" collapsed="false">
      <c r="A251" s="9" t="s">
        <v>59</v>
      </c>
      <c r="B251" s="9" t="s">
        <v>1462</v>
      </c>
      <c r="C251" s="9" t="s">
        <v>1463</v>
      </c>
      <c r="D251" s="9" t="s">
        <v>1184</v>
      </c>
      <c r="E251" s="9" t="s">
        <v>1464</v>
      </c>
      <c r="F251" s="9" t="s">
        <v>1465</v>
      </c>
      <c r="G251" s="26" t="s">
        <v>1466</v>
      </c>
    </row>
    <row r="252" customFormat="false" ht="21.75" hidden="false" customHeight="true" outlineLevel="0" collapsed="false">
      <c r="A252" s="9" t="s">
        <v>59</v>
      </c>
      <c r="B252" s="9" t="s">
        <v>428</v>
      </c>
      <c r="C252" s="9" t="s">
        <v>1467</v>
      </c>
      <c r="D252" s="9" t="s">
        <v>1106</v>
      </c>
      <c r="E252" s="9" t="s">
        <v>1468</v>
      </c>
      <c r="F252" s="9" t="s">
        <v>1469</v>
      </c>
      <c r="G252" s="26" t="s">
        <v>1470</v>
      </c>
    </row>
    <row r="253" customFormat="false" ht="21.75" hidden="false" customHeight="true" outlineLevel="0" collapsed="false">
      <c r="A253" s="9" t="s">
        <v>59</v>
      </c>
      <c r="B253" s="9" t="s">
        <v>279</v>
      </c>
      <c r="C253" s="9" t="s">
        <v>1471</v>
      </c>
      <c r="D253" s="9" t="s">
        <v>1472</v>
      </c>
      <c r="E253" s="9" t="s">
        <v>1473</v>
      </c>
      <c r="F253" s="9" t="s">
        <v>1474</v>
      </c>
      <c r="G253" s="26" t="s">
        <v>1475</v>
      </c>
    </row>
    <row r="254" customFormat="false" ht="32.25" hidden="false" customHeight="true" outlineLevel="0" collapsed="false">
      <c r="A254" s="9" t="s">
        <v>59</v>
      </c>
      <c r="B254" s="9" t="s">
        <v>438</v>
      </c>
      <c r="C254" s="9" t="s">
        <v>1476</v>
      </c>
      <c r="D254" s="9" t="s">
        <v>1477</v>
      </c>
      <c r="E254" s="9" t="s">
        <v>1478</v>
      </c>
      <c r="F254" s="9" t="s">
        <v>1479</v>
      </c>
      <c r="G254" s="26" t="s">
        <v>1480</v>
      </c>
    </row>
    <row r="255" customFormat="false" ht="21.75" hidden="false" customHeight="true" outlineLevel="0" collapsed="false">
      <c r="A255" s="9" t="s">
        <v>59</v>
      </c>
      <c r="B255" s="9" t="s">
        <v>438</v>
      </c>
      <c r="C255" s="9" t="s">
        <v>1481</v>
      </c>
      <c r="D255" s="9" t="s">
        <v>1239</v>
      </c>
      <c r="E255" s="9" t="s">
        <v>1482</v>
      </c>
      <c r="F255" s="9" t="s">
        <v>1483</v>
      </c>
      <c r="G255" s="26" t="s">
        <v>1484</v>
      </c>
    </row>
    <row r="256" customFormat="false" ht="32.25" hidden="false" customHeight="true" outlineLevel="0" collapsed="false">
      <c r="A256" s="9" t="s">
        <v>59</v>
      </c>
      <c r="B256" s="9" t="s">
        <v>1485</v>
      </c>
      <c r="C256" s="9" t="s">
        <v>1486</v>
      </c>
      <c r="D256" s="9" t="s">
        <v>1487</v>
      </c>
      <c r="E256" s="9" t="s">
        <v>1488</v>
      </c>
      <c r="F256" s="9" t="s">
        <v>1489</v>
      </c>
      <c r="G256" s="26" t="s">
        <v>1490</v>
      </c>
    </row>
    <row r="257" customFormat="false" ht="21.75" hidden="false" customHeight="true" outlineLevel="0" collapsed="false">
      <c r="A257" s="9" t="s">
        <v>59</v>
      </c>
      <c r="B257" s="9" t="s">
        <v>1453</v>
      </c>
      <c r="C257" s="9" t="s">
        <v>1491</v>
      </c>
      <c r="D257" s="9" t="s">
        <v>1492</v>
      </c>
      <c r="E257" s="9" t="s">
        <v>1493</v>
      </c>
      <c r="F257" s="9" t="s">
        <v>1494</v>
      </c>
      <c r="G257" s="26" t="s">
        <v>1490</v>
      </c>
    </row>
    <row r="258" customFormat="false" ht="21.75" hidden="false" customHeight="true" outlineLevel="0" collapsed="false">
      <c r="A258" s="9" t="s">
        <v>59</v>
      </c>
      <c r="B258" s="9" t="s">
        <v>1040</v>
      </c>
      <c r="C258" s="9" t="s">
        <v>1495</v>
      </c>
      <c r="D258" s="9" t="s">
        <v>1496</v>
      </c>
      <c r="E258" s="9" t="s">
        <v>1497</v>
      </c>
      <c r="F258" s="9" t="s">
        <v>1498</v>
      </c>
      <c r="G258" s="26" t="s">
        <v>1499</v>
      </c>
    </row>
    <row r="259" customFormat="false" ht="32.25" hidden="false" customHeight="true" outlineLevel="0" collapsed="false">
      <c r="A259" s="9" t="s">
        <v>59</v>
      </c>
      <c r="B259" s="9" t="s">
        <v>1500</v>
      </c>
      <c r="C259" s="9" t="s">
        <v>1501</v>
      </c>
      <c r="D259" s="9" t="s">
        <v>731</v>
      </c>
      <c r="E259" s="9" t="s">
        <v>1502</v>
      </c>
      <c r="F259" s="9" t="s">
        <v>1503</v>
      </c>
      <c r="G259" s="26" t="s">
        <v>1490</v>
      </c>
    </row>
    <row r="260" customFormat="false" ht="32.25" hidden="false" customHeight="true" outlineLevel="0" collapsed="false">
      <c r="A260" s="9" t="s">
        <v>61</v>
      </c>
      <c r="B260" s="9" t="s">
        <v>1504</v>
      </c>
      <c r="C260" s="9" t="s">
        <v>1505</v>
      </c>
      <c r="D260" s="9" t="s">
        <v>1096</v>
      </c>
      <c r="E260" s="9" t="s">
        <v>1506</v>
      </c>
      <c r="F260" s="9" t="s">
        <v>1507</v>
      </c>
      <c r="G260" s="26" t="s">
        <v>1508</v>
      </c>
    </row>
    <row r="261" customFormat="false" ht="21.75" hidden="false" customHeight="true" outlineLevel="0" collapsed="false">
      <c r="A261" s="9" t="s">
        <v>61</v>
      </c>
      <c r="B261" s="9" t="s">
        <v>302</v>
      </c>
      <c r="C261" s="9" t="s">
        <v>1509</v>
      </c>
      <c r="D261" s="9" t="s">
        <v>1510</v>
      </c>
      <c r="E261" s="9" t="s">
        <v>1511</v>
      </c>
      <c r="F261" s="9" t="s">
        <v>1512</v>
      </c>
      <c r="G261" s="26" t="s">
        <v>1513</v>
      </c>
    </row>
    <row r="262" customFormat="false" ht="21.75" hidden="false" customHeight="true" outlineLevel="0" collapsed="false">
      <c r="A262" s="9" t="s">
        <v>61</v>
      </c>
      <c r="B262" s="9" t="s">
        <v>438</v>
      </c>
      <c r="C262" s="9" t="s">
        <v>1514</v>
      </c>
      <c r="D262" s="9" t="s">
        <v>416</v>
      </c>
      <c r="E262" s="9" t="s">
        <v>1515</v>
      </c>
      <c r="F262" s="9" t="s">
        <v>1516</v>
      </c>
      <c r="G262" s="26" t="s">
        <v>1508</v>
      </c>
    </row>
    <row r="263" customFormat="false" ht="21.75" hidden="false" customHeight="true" outlineLevel="0" collapsed="false">
      <c r="A263" s="9" t="s">
        <v>61</v>
      </c>
      <c r="B263" s="9" t="s">
        <v>428</v>
      </c>
      <c r="C263" s="9" t="s">
        <v>1517</v>
      </c>
      <c r="D263" s="9" t="s">
        <v>416</v>
      </c>
      <c r="E263" s="9" t="s">
        <v>1518</v>
      </c>
      <c r="F263" s="9" t="s">
        <v>1519</v>
      </c>
      <c r="G263" s="26" t="s">
        <v>1513</v>
      </c>
    </row>
    <row r="264" customFormat="false" ht="32.25" hidden="false" customHeight="true" outlineLevel="0" collapsed="false">
      <c r="A264" s="9" t="s">
        <v>61</v>
      </c>
      <c r="B264" s="9" t="s">
        <v>438</v>
      </c>
      <c r="C264" s="9" t="s">
        <v>1520</v>
      </c>
      <c r="D264" s="9" t="s">
        <v>873</v>
      </c>
      <c r="E264" s="9" t="s">
        <v>1521</v>
      </c>
      <c r="F264" s="9" t="s">
        <v>1522</v>
      </c>
      <c r="G264" s="26" t="s">
        <v>1523</v>
      </c>
    </row>
    <row r="265" customFormat="false" ht="32.25" hidden="false" customHeight="true" outlineLevel="0" collapsed="false">
      <c r="A265" s="9" t="s">
        <v>61</v>
      </c>
      <c r="B265" s="9" t="s">
        <v>920</v>
      </c>
      <c r="C265" s="9" t="s">
        <v>1524</v>
      </c>
      <c r="D265" s="9" t="s">
        <v>1525</v>
      </c>
      <c r="E265" s="9" t="s">
        <v>1526</v>
      </c>
      <c r="F265" s="9" t="s">
        <v>1527</v>
      </c>
      <c r="G265" s="26" t="s">
        <v>924</v>
      </c>
    </row>
    <row r="266" customFormat="false" ht="32.25" hidden="false" customHeight="true" outlineLevel="0" collapsed="false">
      <c r="A266" s="15" t="s">
        <v>61</v>
      </c>
      <c r="B266" s="15" t="s">
        <v>1528</v>
      </c>
      <c r="C266" s="15" t="s">
        <v>1529</v>
      </c>
      <c r="D266" s="15" t="s">
        <v>731</v>
      </c>
      <c r="E266" s="15" t="s">
        <v>1530</v>
      </c>
      <c r="F266" s="15" t="s">
        <v>1531</v>
      </c>
      <c r="G266" s="27" t="s">
        <v>269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7"/>
    <col collapsed="false" customWidth="true" hidden="false" outlineLevel="0" max="3" min="3" style="1" width="8"/>
    <col collapsed="false" customWidth="true" hidden="false" outlineLevel="0" max="4" min="4" style="1" width="12"/>
    <col collapsed="false" customWidth="true" hidden="false" outlineLevel="0" max="5" min="5" style="1" width="68"/>
    <col collapsed="false" customWidth="true" hidden="false" outlineLevel="0" max="6" min="6" style="1" width="24"/>
    <col collapsed="false" customWidth="true" hidden="false" outlineLevel="0" max="7" min="7" style="1" width="34"/>
    <col collapsed="false" customWidth="true" hidden="false" outlineLevel="0" max="8" min="8" style="1" width="60"/>
    <col collapsed="false" customWidth="true" hidden="false" outlineLevel="0" max="10" min="10" style="1" width="26"/>
    <col collapsed="false" customWidth="true" hidden="false" outlineLevel="0" max="11" min="11" style="1" width="8"/>
  </cols>
  <sheetData>
    <row r="1" customFormat="false" ht="24" hidden="false" customHeight="true" outlineLevel="0" collapsed="false">
      <c r="A1" s="28" t="s">
        <v>0</v>
      </c>
      <c r="B1" s="28" t="s">
        <v>1532</v>
      </c>
      <c r="C1" s="28" t="s">
        <v>1533</v>
      </c>
      <c r="D1" s="28" t="s">
        <v>1534</v>
      </c>
      <c r="E1" s="28" t="s">
        <v>1535</v>
      </c>
      <c r="F1" s="28" t="s">
        <v>68</v>
      </c>
      <c r="G1" s="28" t="s">
        <v>1536</v>
      </c>
      <c r="H1" s="28" t="s">
        <v>73</v>
      </c>
      <c r="J1" s="28" t="s">
        <v>1537</v>
      </c>
      <c r="K1" s="28" t="s">
        <v>1538</v>
      </c>
    </row>
    <row r="2" customFormat="false" ht="15" hidden="false" customHeight="true" outlineLevel="0" collapsed="false">
      <c r="A2" s="29" t="s">
        <v>17</v>
      </c>
      <c r="B2" s="30" t="n">
        <v>2023</v>
      </c>
      <c r="C2" s="31" t="s">
        <v>1539</v>
      </c>
      <c r="D2" s="32" t="s">
        <v>1540</v>
      </c>
      <c r="E2" s="33" t="s">
        <v>1541</v>
      </c>
      <c r="F2" s="33" t="s">
        <v>1542</v>
      </c>
      <c r="G2" s="33" t="s">
        <v>1543</v>
      </c>
      <c r="H2" s="34" t="s">
        <v>1544</v>
      </c>
      <c r="J2" s="35" t="s">
        <v>17</v>
      </c>
      <c r="K2" s="36" t="n">
        <f aca="false">COUNTIF($A$2:$A$511,J2)</f>
        <v>3</v>
      </c>
    </row>
    <row r="3" customFormat="false" ht="15" hidden="false" customHeight="true" outlineLevel="0" collapsed="false">
      <c r="A3" s="29" t="s">
        <v>17</v>
      </c>
      <c r="B3" s="30" t="n">
        <v>2023</v>
      </c>
      <c r="C3" s="31" t="s">
        <v>1539</v>
      </c>
      <c r="D3" s="32" t="s">
        <v>1540</v>
      </c>
      <c r="E3" s="33" t="s">
        <v>1545</v>
      </c>
      <c r="F3" s="33" t="s">
        <v>1542</v>
      </c>
      <c r="G3" s="33" t="s">
        <v>1543</v>
      </c>
      <c r="H3" s="34" t="s">
        <v>1546</v>
      </c>
      <c r="J3" s="35" t="s">
        <v>22</v>
      </c>
      <c r="K3" s="36" t="n">
        <f aca="false">COUNTIF($A$2:$A$511,J3)</f>
        <v>2</v>
      </c>
    </row>
    <row r="4" customFormat="false" ht="21.75" hidden="false" customHeight="true" outlineLevel="0" collapsed="false">
      <c r="A4" s="29" t="s">
        <v>17</v>
      </c>
      <c r="B4" s="30" t="n">
        <v>2026</v>
      </c>
      <c r="C4" s="31"/>
      <c r="D4" s="32"/>
      <c r="E4" s="33" t="s">
        <v>1547</v>
      </c>
      <c r="F4" s="33" t="s">
        <v>326</v>
      </c>
      <c r="G4" s="33" t="s">
        <v>1548</v>
      </c>
      <c r="H4" s="34" t="s">
        <v>1549</v>
      </c>
      <c r="J4" s="35" t="s">
        <v>58</v>
      </c>
      <c r="K4" s="36" t="n">
        <f aca="false">COUNTIF($A$2:$A$511,J4)</f>
        <v>23</v>
      </c>
    </row>
    <row r="5" customFormat="false" ht="15" hidden="false" customHeight="true" outlineLevel="0" collapsed="false">
      <c r="A5" s="29" t="s">
        <v>22</v>
      </c>
      <c r="B5" s="30" t="n">
        <v>2021</v>
      </c>
      <c r="C5" s="31" t="s">
        <v>1550</v>
      </c>
      <c r="D5" s="32" t="s">
        <v>1551</v>
      </c>
      <c r="E5" s="33" t="s">
        <v>1552</v>
      </c>
      <c r="F5" s="33" t="s">
        <v>1542</v>
      </c>
      <c r="G5" s="33" t="s">
        <v>1543</v>
      </c>
      <c r="H5" s="34" t="s">
        <v>1553</v>
      </c>
      <c r="J5" s="35" t="s">
        <v>28</v>
      </c>
      <c r="K5" s="36" t="n">
        <f aca="false">COUNTIF($A$2:$A$511,J5)</f>
        <v>0</v>
      </c>
    </row>
    <row r="6" customFormat="false" ht="15" hidden="false" customHeight="true" outlineLevel="0" collapsed="false">
      <c r="A6" s="29" t="s">
        <v>22</v>
      </c>
      <c r="B6" s="30" t="n">
        <v>2026</v>
      </c>
      <c r="C6" s="31" t="s">
        <v>1550</v>
      </c>
      <c r="D6" s="32" t="s">
        <v>1554</v>
      </c>
      <c r="E6" s="33" t="s">
        <v>1555</v>
      </c>
      <c r="F6" s="33" t="s">
        <v>456</v>
      </c>
      <c r="G6" s="33" t="s">
        <v>1543</v>
      </c>
      <c r="H6" s="34" t="s">
        <v>1556</v>
      </c>
      <c r="J6" s="35" t="s">
        <v>55</v>
      </c>
      <c r="K6" s="36" t="n">
        <f aca="false">COUNTIF($A$2:$A$511,J6)</f>
        <v>0</v>
      </c>
    </row>
    <row r="7" customFormat="false" ht="15" hidden="false" customHeight="true" outlineLevel="0" collapsed="false">
      <c r="A7" s="29" t="s">
        <v>58</v>
      </c>
      <c r="B7" s="30" t="n">
        <v>2021</v>
      </c>
      <c r="C7" s="31" t="s">
        <v>1557</v>
      </c>
      <c r="D7" s="32" t="s">
        <v>1558</v>
      </c>
      <c r="E7" s="33" t="s">
        <v>1559</v>
      </c>
      <c r="F7" s="33" t="s">
        <v>416</v>
      </c>
      <c r="G7" s="33" t="s">
        <v>1543</v>
      </c>
      <c r="H7" s="34" t="s">
        <v>1560</v>
      </c>
      <c r="J7" s="35" t="s">
        <v>54</v>
      </c>
      <c r="K7" s="36" t="n">
        <f aca="false">COUNTIF($A$2:$A$511,J7)</f>
        <v>0</v>
      </c>
    </row>
    <row r="8" customFormat="false" ht="15" hidden="false" customHeight="true" outlineLevel="0" collapsed="false">
      <c r="A8" s="29" t="s">
        <v>58</v>
      </c>
      <c r="B8" s="30" t="n">
        <v>2021</v>
      </c>
      <c r="C8" s="31" t="s">
        <v>1557</v>
      </c>
      <c r="D8" s="32" t="s">
        <v>1558</v>
      </c>
      <c r="E8" s="33" t="s">
        <v>1561</v>
      </c>
      <c r="F8" s="33" t="s">
        <v>416</v>
      </c>
      <c r="G8" s="33" t="s">
        <v>1543</v>
      </c>
      <c r="H8" s="34" t="s">
        <v>1562</v>
      </c>
      <c r="J8" s="35" t="s">
        <v>18</v>
      </c>
      <c r="K8" s="36" t="n">
        <f aca="false">COUNTIF($A$2:$A$511,J8)</f>
        <v>1</v>
      </c>
    </row>
    <row r="9" customFormat="false" ht="15" hidden="false" customHeight="true" outlineLevel="0" collapsed="false">
      <c r="A9" s="29" t="s">
        <v>58</v>
      </c>
      <c r="B9" s="30" t="n">
        <v>2021</v>
      </c>
      <c r="C9" s="31" t="s">
        <v>1557</v>
      </c>
      <c r="D9" s="32" t="s">
        <v>1558</v>
      </c>
      <c r="E9" s="33" t="s">
        <v>1563</v>
      </c>
      <c r="F9" s="33" t="s">
        <v>1542</v>
      </c>
      <c r="G9" s="33" t="s">
        <v>1543</v>
      </c>
      <c r="H9" s="34" t="s">
        <v>1564</v>
      </c>
      <c r="J9" s="35" t="s">
        <v>34</v>
      </c>
      <c r="K9" s="36" t="n">
        <f aca="false">COUNTIF($A$2:$A$511,J9)</f>
        <v>207</v>
      </c>
    </row>
    <row r="10" customFormat="false" ht="15" hidden="false" customHeight="true" outlineLevel="0" collapsed="false">
      <c r="A10" s="29" t="s">
        <v>58</v>
      </c>
      <c r="B10" s="30" t="n">
        <v>2021</v>
      </c>
      <c r="C10" s="31" t="s">
        <v>1539</v>
      </c>
      <c r="D10" s="32" t="s">
        <v>1565</v>
      </c>
      <c r="E10" s="33" t="s">
        <v>1566</v>
      </c>
      <c r="F10" s="33" t="s">
        <v>1542</v>
      </c>
      <c r="G10" s="33" t="s">
        <v>1543</v>
      </c>
      <c r="H10" s="34" t="s">
        <v>1567</v>
      </c>
      <c r="J10" s="35" t="s">
        <v>50</v>
      </c>
      <c r="K10" s="36" t="n">
        <f aca="false">COUNTIF($A$2:$A$511,J10)</f>
        <v>0</v>
      </c>
    </row>
    <row r="11" customFormat="false" ht="15" hidden="false" customHeight="true" outlineLevel="0" collapsed="false">
      <c r="A11" s="29" t="s">
        <v>58</v>
      </c>
      <c r="B11" s="30" t="n">
        <v>2021</v>
      </c>
      <c r="C11" s="31" t="s">
        <v>1539</v>
      </c>
      <c r="D11" s="32" t="s">
        <v>1565</v>
      </c>
      <c r="E11" s="33" t="s">
        <v>1568</v>
      </c>
      <c r="F11" s="33" t="s">
        <v>416</v>
      </c>
      <c r="G11" s="33" t="s">
        <v>1543</v>
      </c>
      <c r="H11" s="34" t="s">
        <v>1569</v>
      </c>
      <c r="J11" s="35" t="s">
        <v>46</v>
      </c>
      <c r="K11" s="36" t="n">
        <f aca="false">COUNTIF($A$2:$A$511,J11)</f>
        <v>0</v>
      </c>
    </row>
    <row r="12" customFormat="false" ht="15" hidden="false" customHeight="true" outlineLevel="0" collapsed="false">
      <c r="A12" s="29" t="s">
        <v>58</v>
      </c>
      <c r="B12" s="30" t="n">
        <v>2021</v>
      </c>
      <c r="C12" s="31" t="s">
        <v>1539</v>
      </c>
      <c r="D12" s="32" t="s">
        <v>1570</v>
      </c>
      <c r="E12" s="33" t="s">
        <v>1571</v>
      </c>
      <c r="F12" s="33" t="s">
        <v>416</v>
      </c>
      <c r="G12" s="33" t="s">
        <v>1543</v>
      </c>
      <c r="H12" s="34" t="s">
        <v>1572</v>
      </c>
      <c r="J12" s="35" t="s">
        <v>15</v>
      </c>
      <c r="K12" s="36" t="n">
        <f aca="false">COUNTIF($A$2:$A$511,J12)</f>
        <v>0</v>
      </c>
    </row>
    <row r="13" customFormat="false" ht="21.75" hidden="false" customHeight="true" outlineLevel="0" collapsed="false">
      <c r="A13" s="29" t="s">
        <v>58</v>
      </c>
      <c r="B13" s="30" t="n">
        <v>2022</v>
      </c>
      <c r="C13" s="31" t="s">
        <v>1573</v>
      </c>
      <c r="D13" s="32" t="s">
        <v>1574</v>
      </c>
      <c r="E13" s="33" t="s">
        <v>1575</v>
      </c>
      <c r="F13" s="33" t="s">
        <v>416</v>
      </c>
      <c r="G13" s="33" t="s">
        <v>1543</v>
      </c>
      <c r="H13" s="34" t="s">
        <v>1576</v>
      </c>
      <c r="J13" s="35" t="s">
        <v>10</v>
      </c>
      <c r="K13" s="36" t="n">
        <f aca="false">COUNTIF($A$2:$A$511,J13)</f>
        <v>1</v>
      </c>
    </row>
    <row r="14" customFormat="false" ht="15" hidden="false" customHeight="true" outlineLevel="0" collapsed="false">
      <c r="A14" s="29" t="s">
        <v>58</v>
      </c>
      <c r="B14" s="30" t="n">
        <v>2022</v>
      </c>
      <c r="C14" s="31" t="s">
        <v>1573</v>
      </c>
      <c r="D14" s="32" t="s">
        <v>1574</v>
      </c>
      <c r="E14" s="33" t="s">
        <v>1577</v>
      </c>
      <c r="F14" s="33" t="s">
        <v>416</v>
      </c>
      <c r="G14" s="33" t="s">
        <v>1543</v>
      </c>
      <c r="H14" s="34" t="s">
        <v>1578</v>
      </c>
      <c r="J14" s="35" t="s">
        <v>26</v>
      </c>
      <c r="K14" s="36" t="n">
        <f aca="false">COUNTIF($A$2:$A$511,J14)</f>
        <v>0</v>
      </c>
    </row>
    <row r="15" customFormat="false" ht="15" hidden="false" customHeight="true" outlineLevel="0" collapsed="false">
      <c r="A15" s="29" t="s">
        <v>58</v>
      </c>
      <c r="B15" s="30" t="n">
        <v>2022</v>
      </c>
      <c r="C15" s="31" t="s">
        <v>1573</v>
      </c>
      <c r="D15" s="32" t="s">
        <v>1574</v>
      </c>
      <c r="E15" s="33" t="s">
        <v>1579</v>
      </c>
      <c r="F15" s="33" t="s">
        <v>1542</v>
      </c>
      <c r="G15" s="33" t="s">
        <v>1543</v>
      </c>
      <c r="H15" s="34" t="s">
        <v>1580</v>
      </c>
      <c r="J15" s="35" t="s">
        <v>19</v>
      </c>
      <c r="K15" s="36" t="n">
        <f aca="false">COUNTIF($A$2:$A$511,J15)</f>
        <v>0</v>
      </c>
    </row>
    <row r="16" customFormat="false" ht="15" hidden="false" customHeight="true" outlineLevel="0" collapsed="false">
      <c r="A16" s="29" t="s">
        <v>58</v>
      </c>
      <c r="B16" s="30" t="n">
        <v>2022</v>
      </c>
      <c r="C16" s="31" t="s">
        <v>1581</v>
      </c>
      <c r="D16" s="32" t="s">
        <v>1582</v>
      </c>
      <c r="E16" s="33" t="s">
        <v>1583</v>
      </c>
      <c r="F16" s="33" t="s">
        <v>1542</v>
      </c>
      <c r="G16" s="33" t="s">
        <v>1543</v>
      </c>
      <c r="H16" s="34" t="s">
        <v>1584</v>
      </c>
      <c r="J16" s="35" t="s">
        <v>59</v>
      </c>
      <c r="K16" s="36" t="n">
        <f aca="false">COUNTIF($A$2:$A$511,J16)</f>
        <v>34</v>
      </c>
    </row>
    <row r="17" customFormat="false" ht="15" hidden="false" customHeight="true" outlineLevel="0" collapsed="false">
      <c r="A17" s="29" t="s">
        <v>58</v>
      </c>
      <c r="B17" s="30" t="n">
        <v>2022</v>
      </c>
      <c r="C17" s="31" t="s">
        <v>1581</v>
      </c>
      <c r="D17" s="32" t="s">
        <v>1582</v>
      </c>
      <c r="E17" s="33" t="s">
        <v>1585</v>
      </c>
      <c r="F17" s="33" t="s">
        <v>1542</v>
      </c>
      <c r="G17" s="33" t="s">
        <v>1543</v>
      </c>
      <c r="H17" s="34" t="s">
        <v>1586</v>
      </c>
      <c r="J17" s="35" t="s">
        <v>27</v>
      </c>
      <c r="K17" s="36" t="n">
        <f aca="false">COUNTIF($A$2:$A$511,J17)</f>
        <v>31</v>
      </c>
    </row>
    <row r="18" customFormat="false" ht="15" hidden="false" customHeight="true" outlineLevel="0" collapsed="false">
      <c r="A18" s="29" t="s">
        <v>58</v>
      </c>
      <c r="B18" s="30" t="n">
        <v>2022</v>
      </c>
      <c r="C18" s="31" t="s">
        <v>1581</v>
      </c>
      <c r="D18" s="32" t="s">
        <v>1582</v>
      </c>
      <c r="E18" s="33" t="s">
        <v>1587</v>
      </c>
      <c r="F18" s="33" t="s">
        <v>416</v>
      </c>
      <c r="G18" s="33" t="s">
        <v>1543</v>
      </c>
      <c r="H18" s="34" t="s">
        <v>1588</v>
      </c>
      <c r="J18" s="35" t="s">
        <v>44</v>
      </c>
      <c r="K18" s="36" t="n">
        <f aca="false">COUNTIF($A$2:$A$511,J18)</f>
        <v>0</v>
      </c>
    </row>
    <row r="19" customFormat="false" ht="15" hidden="false" customHeight="true" outlineLevel="0" collapsed="false">
      <c r="A19" s="29" t="s">
        <v>58</v>
      </c>
      <c r="B19" s="30" t="n">
        <v>2023</v>
      </c>
      <c r="C19" s="31" t="s">
        <v>1573</v>
      </c>
      <c r="D19" s="32" t="s">
        <v>1589</v>
      </c>
      <c r="E19" s="33" t="s">
        <v>1590</v>
      </c>
      <c r="F19" s="33" t="s">
        <v>416</v>
      </c>
      <c r="G19" s="33" t="s">
        <v>1543</v>
      </c>
      <c r="H19" s="34" t="s">
        <v>1591</v>
      </c>
      <c r="J19" s="35" t="s">
        <v>52</v>
      </c>
      <c r="K19" s="36" t="n">
        <f aca="false">COUNTIF($A$2:$A$511,J19)</f>
        <v>2</v>
      </c>
    </row>
    <row r="20" customFormat="false" ht="15" hidden="false" customHeight="true" outlineLevel="0" collapsed="false">
      <c r="A20" s="29" t="s">
        <v>58</v>
      </c>
      <c r="B20" s="30" t="n">
        <v>2023</v>
      </c>
      <c r="C20" s="31" t="s">
        <v>1573</v>
      </c>
      <c r="D20" s="32" t="s">
        <v>1589</v>
      </c>
      <c r="E20" s="33" t="s">
        <v>1592</v>
      </c>
      <c r="F20" s="33" t="s">
        <v>1542</v>
      </c>
      <c r="G20" s="33" t="s">
        <v>1543</v>
      </c>
      <c r="H20" s="34" t="s">
        <v>1593</v>
      </c>
      <c r="J20" s="35" t="s">
        <v>36</v>
      </c>
      <c r="K20" s="36" t="n">
        <f aca="false">COUNTIF($A$2:$A$511,J20)</f>
        <v>0</v>
      </c>
    </row>
    <row r="21" customFormat="false" ht="15" hidden="false" customHeight="true" outlineLevel="0" collapsed="false">
      <c r="A21" s="29" t="s">
        <v>58</v>
      </c>
      <c r="B21" s="30" t="n">
        <v>2023</v>
      </c>
      <c r="C21" s="31" t="s">
        <v>1573</v>
      </c>
      <c r="D21" s="32" t="s">
        <v>1594</v>
      </c>
      <c r="E21" s="33" t="s">
        <v>1595</v>
      </c>
      <c r="F21" s="33" t="s">
        <v>416</v>
      </c>
      <c r="G21" s="33" t="s">
        <v>1543</v>
      </c>
      <c r="H21" s="34" t="s">
        <v>1596</v>
      </c>
      <c r="J21" s="35" t="s">
        <v>41</v>
      </c>
      <c r="K21" s="36" t="n">
        <f aca="false">COUNTIF($A$2:$A$511,J21)</f>
        <v>0</v>
      </c>
    </row>
    <row r="22" customFormat="false" ht="15" hidden="false" customHeight="true" outlineLevel="0" collapsed="false">
      <c r="A22" s="29" t="s">
        <v>58</v>
      </c>
      <c r="B22" s="30" t="n">
        <v>2023</v>
      </c>
      <c r="C22" s="31" t="s">
        <v>1581</v>
      </c>
      <c r="D22" s="32" t="s">
        <v>1597</v>
      </c>
      <c r="E22" s="33" t="s">
        <v>1598</v>
      </c>
      <c r="F22" s="33" t="s">
        <v>1542</v>
      </c>
      <c r="G22" s="33" t="s">
        <v>1543</v>
      </c>
      <c r="H22" s="34" t="s">
        <v>1599</v>
      </c>
      <c r="J22" s="35" t="s">
        <v>13</v>
      </c>
      <c r="K22" s="36" t="n">
        <f aca="false">COUNTIF($A$2:$A$511,J22)</f>
        <v>69</v>
      </c>
    </row>
    <row r="23" customFormat="false" ht="15" hidden="false" customHeight="true" outlineLevel="0" collapsed="false">
      <c r="A23" s="29" t="s">
        <v>58</v>
      </c>
      <c r="B23" s="30" t="n">
        <v>2023</v>
      </c>
      <c r="C23" s="31" t="s">
        <v>1581</v>
      </c>
      <c r="D23" s="32" t="s">
        <v>1600</v>
      </c>
      <c r="E23" s="33" t="s">
        <v>1601</v>
      </c>
      <c r="F23" s="33" t="s">
        <v>1542</v>
      </c>
      <c r="G23" s="33" t="s">
        <v>1543</v>
      </c>
      <c r="H23" s="34" t="s">
        <v>1602</v>
      </c>
      <c r="J23" s="35" t="s">
        <v>38</v>
      </c>
      <c r="K23" s="36" t="n">
        <f aca="false">COUNTIF($A$2:$A$511,J23)</f>
        <v>0</v>
      </c>
    </row>
    <row r="24" customFormat="false" ht="15" hidden="false" customHeight="true" outlineLevel="0" collapsed="false">
      <c r="A24" s="29" t="s">
        <v>58</v>
      </c>
      <c r="B24" s="30" t="n">
        <v>2023</v>
      </c>
      <c r="C24" s="31" t="s">
        <v>1581</v>
      </c>
      <c r="D24" s="32" t="s">
        <v>1600</v>
      </c>
      <c r="E24" s="33" t="s">
        <v>1603</v>
      </c>
      <c r="F24" s="33" t="s">
        <v>1542</v>
      </c>
      <c r="G24" s="33" t="s">
        <v>1543</v>
      </c>
      <c r="H24" s="34" t="s">
        <v>1604</v>
      </c>
      <c r="J24" s="35" t="s">
        <v>48</v>
      </c>
      <c r="K24" s="36" t="n">
        <f aca="false">COUNTIF($A$2:$A$511,J24)</f>
        <v>1</v>
      </c>
    </row>
    <row r="25" customFormat="false" ht="21.75" hidden="false" customHeight="true" outlineLevel="0" collapsed="false">
      <c r="A25" s="29" t="s">
        <v>58</v>
      </c>
      <c r="B25" s="30" t="n">
        <v>2024</v>
      </c>
      <c r="C25" s="31" t="s">
        <v>1573</v>
      </c>
      <c r="D25" s="32" t="s">
        <v>1605</v>
      </c>
      <c r="E25" s="33" t="s">
        <v>1606</v>
      </c>
      <c r="F25" s="33" t="s">
        <v>1542</v>
      </c>
      <c r="G25" s="33" t="s">
        <v>1543</v>
      </c>
      <c r="H25" s="34" t="s">
        <v>1607</v>
      </c>
      <c r="J25" s="35" t="s">
        <v>25</v>
      </c>
      <c r="K25" s="36" t="n">
        <f aca="false">COUNTIF($A$2:$A$511,J25)</f>
        <v>7</v>
      </c>
    </row>
    <row r="26" customFormat="false" ht="15" hidden="false" customHeight="true" outlineLevel="0" collapsed="false">
      <c r="A26" s="29" t="s">
        <v>58</v>
      </c>
      <c r="B26" s="30" t="n">
        <v>2024</v>
      </c>
      <c r="C26" s="31" t="s">
        <v>1573</v>
      </c>
      <c r="D26" s="32" t="s">
        <v>1605</v>
      </c>
      <c r="E26" s="33" t="s">
        <v>1608</v>
      </c>
      <c r="F26" s="33" t="s">
        <v>416</v>
      </c>
      <c r="G26" s="33" t="s">
        <v>1543</v>
      </c>
      <c r="H26" s="34" t="s">
        <v>1609</v>
      </c>
      <c r="J26" s="35" t="s">
        <v>56</v>
      </c>
      <c r="K26" s="36" t="n">
        <f aca="false">COUNTIF($A$2:$A$511,J26)</f>
        <v>0</v>
      </c>
    </row>
    <row r="27" customFormat="false" ht="15" hidden="false" customHeight="true" outlineLevel="0" collapsed="false">
      <c r="A27" s="29" t="s">
        <v>58</v>
      </c>
      <c r="B27" s="30" t="n">
        <v>2024</v>
      </c>
      <c r="C27" s="31" t="s">
        <v>1573</v>
      </c>
      <c r="D27" s="32" t="s">
        <v>1605</v>
      </c>
      <c r="E27" s="33" t="s">
        <v>1610</v>
      </c>
      <c r="F27" s="33" t="s">
        <v>416</v>
      </c>
      <c r="G27" s="33" t="s">
        <v>1543</v>
      </c>
      <c r="H27" s="34" t="s">
        <v>1611</v>
      </c>
      <c r="J27" s="35" t="s">
        <v>7</v>
      </c>
      <c r="K27" s="36" t="n">
        <f aca="false">COUNTIF($A$2:$A$511,J27)</f>
        <v>110</v>
      </c>
    </row>
    <row r="28" customFormat="false" ht="15" hidden="false" customHeight="true" outlineLevel="0" collapsed="false">
      <c r="A28" s="29" t="s">
        <v>58</v>
      </c>
      <c r="B28" s="30" t="n">
        <v>2025</v>
      </c>
      <c r="C28" s="31" t="s">
        <v>1581</v>
      </c>
      <c r="D28" s="32" t="s">
        <v>1612</v>
      </c>
      <c r="E28" s="33" t="s">
        <v>1613</v>
      </c>
      <c r="F28" s="33" t="s">
        <v>416</v>
      </c>
      <c r="G28" s="33" t="s">
        <v>1543</v>
      </c>
      <c r="H28" s="34" t="s">
        <v>1614</v>
      </c>
      <c r="J28" s="35" t="s">
        <v>61</v>
      </c>
      <c r="K28" s="36" t="n">
        <f aca="false">COUNTIF($A$2:$A$511,J28)</f>
        <v>10</v>
      </c>
    </row>
    <row r="29" customFormat="false" ht="15" hidden="false" customHeight="true" outlineLevel="0" collapsed="false">
      <c r="A29" s="29" t="s">
        <v>58</v>
      </c>
      <c r="B29" s="30" t="n">
        <v>2025</v>
      </c>
      <c r="C29" s="31" t="s">
        <v>1581</v>
      </c>
      <c r="D29" s="32" t="s">
        <v>1612</v>
      </c>
      <c r="E29" s="33" t="s">
        <v>1615</v>
      </c>
      <c r="F29" s="33" t="s">
        <v>416</v>
      </c>
      <c r="G29" s="33" t="s">
        <v>1543</v>
      </c>
      <c r="H29" s="34" t="s">
        <v>1616</v>
      </c>
      <c r="J29" s="35" t="s">
        <v>24</v>
      </c>
      <c r="K29" s="36" t="n">
        <f aca="false">COUNTIF($A$2:$A$511,J29)</f>
        <v>1</v>
      </c>
    </row>
    <row r="30" customFormat="false" ht="21.75" hidden="false" customHeight="true" outlineLevel="0" collapsed="false">
      <c r="A30" s="29" t="s">
        <v>18</v>
      </c>
      <c r="B30" s="30" t="n">
        <v>2021</v>
      </c>
      <c r="C30" s="31"/>
      <c r="D30" s="32"/>
      <c r="E30" s="33" t="s">
        <v>1617</v>
      </c>
      <c r="F30" s="33" t="s">
        <v>456</v>
      </c>
      <c r="G30" s="33" t="s">
        <v>1548</v>
      </c>
      <c r="H30" s="34" t="s">
        <v>899</v>
      </c>
      <c r="J30" s="35" t="s">
        <v>32</v>
      </c>
      <c r="K30" s="36" t="n">
        <f aca="false">COUNTIF($A$2:$A$511,J30)</f>
        <v>0</v>
      </c>
    </row>
    <row r="31" customFormat="false" ht="15" hidden="false" customHeight="true" outlineLevel="0" collapsed="false">
      <c r="A31" s="29" t="s">
        <v>34</v>
      </c>
      <c r="B31" s="30" t="n">
        <v>2021</v>
      </c>
      <c r="C31" s="31" t="s">
        <v>1618</v>
      </c>
      <c r="D31" s="32" t="s">
        <v>1619</v>
      </c>
      <c r="E31" s="33" t="s">
        <v>1620</v>
      </c>
      <c r="F31" s="33" t="s">
        <v>1542</v>
      </c>
      <c r="G31" s="33" t="s">
        <v>1543</v>
      </c>
      <c r="H31" s="34" t="s">
        <v>1621</v>
      </c>
      <c r="J31" s="35" t="s">
        <v>30</v>
      </c>
      <c r="K31" s="36" t="n">
        <f aca="false">COUNTIF($A$2:$A$511,J31)</f>
        <v>8</v>
      </c>
    </row>
    <row r="32" customFormat="false" ht="15" hidden="false" customHeight="true" outlineLevel="0" collapsed="false">
      <c r="A32" s="29" t="s">
        <v>34</v>
      </c>
      <c r="B32" s="30" t="n">
        <v>2021</v>
      </c>
      <c r="C32" s="31" t="s">
        <v>1618</v>
      </c>
      <c r="D32" s="32" t="s">
        <v>1622</v>
      </c>
      <c r="E32" s="33" t="s">
        <v>1623</v>
      </c>
      <c r="F32" s="33" t="s">
        <v>1542</v>
      </c>
      <c r="G32" s="33" t="s">
        <v>1543</v>
      </c>
      <c r="H32" s="34" t="s">
        <v>1624</v>
      </c>
      <c r="J32" s="37" t="s">
        <v>1625</v>
      </c>
      <c r="K32" s="38" t="n">
        <f aca="false">SUM(K2:K31)</f>
        <v>510</v>
      </c>
    </row>
    <row r="33" customFormat="false" ht="15" hidden="false" customHeight="true" outlineLevel="0" collapsed="false">
      <c r="A33" s="29" t="s">
        <v>34</v>
      </c>
      <c r="B33" s="30" t="n">
        <v>2021</v>
      </c>
      <c r="C33" s="31" t="s">
        <v>1618</v>
      </c>
      <c r="D33" s="32" t="s">
        <v>1626</v>
      </c>
      <c r="E33" s="33" t="s">
        <v>1627</v>
      </c>
      <c r="F33" s="33" t="s">
        <v>1542</v>
      </c>
      <c r="G33" s="33" t="s">
        <v>1543</v>
      </c>
      <c r="H33" s="34" t="s">
        <v>1628</v>
      </c>
    </row>
    <row r="34" customFormat="false" ht="15" hidden="false" customHeight="true" outlineLevel="0" collapsed="false">
      <c r="A34" s="29" t="s">
        <v>34</v>
      </c>
      <c r="B34" s="30" t="n">
        <v>2021</v>
      </c>
      <c r="C34" s="31" t="s">
        <v>1629</v>
      </c>
      <c r="D34" s="32" t="s">
        <v>1630</v>
      </c>
      <c r="E34" s="33" t="s">
        <v>1631</v>
      </c>
      <c r="F34" s="33" t="s">
        <v>1542</v>
      </c>
      <c r="G34" s="33" t="s">
        <v>1543</v>
      </c>
      <c r="H34" s="34" t="s">
        <v>1632</v>
      </c>
    </row>
    <row r="35" customFormat="false" ht="15" hidden="false" customHeight="true" outlineLevel="0" collapsed="false">
      <c r="A35" s="29" t="s">
        <v>34</v>
      </c>
      <c r="B35" s="30" t="n">
        <v>2021</v>
      </c>
      <c r="C35" s="31" t="s">
        <v>1629</v>
      </c>
      <c r="D35" s="32" t="s">
        <v>1633</v>
      </c>
      <c r="E35" s="33" t="s">
        <v>1634</v>
      </c>
      <c r="F35" s="33" t="s">
        <v>1542</v>
      </c>
      <c r="G35" s="33" t="s">
        <v>1543</v>
      </c>
      <c r="H35" s="34" t="s">
        <v>1635</v>
      </c>
    </row>
    <row r="36" customFormat="false" ht="15" hidden="false" customHeight="true" outlineLevel="0" collapsed="false">
      <c r="A36" s="29" t="s">
        <v>34</v>
      </c>
      <c r="B36" s="30" t="n">
        <v>2021</v>
      </c>
      <c r="C36" s="31" t="s">
        <v>1636</v>
      </c>
      <c r="D36" s="32" t="s">
        <v>1637</v>
      </c>
      <c r="E36" s="33" t="s">
        <v>1638</v>
      </c>
      <c r="F36" s="33" t="s">
        <v>1542</v>
      </c>
      <c r="G36" s="33" t="s">
        <v>1543</v>
      </c>
      <c r="H36" s="34" t="s">
        <v>1639</v>
      </c>
    </row>
    <row r="37" customFormat="false" ht="15" hidden="false" customHeight="true" outlineLevel="0" collapsed="false">
      <c r="A37" s="29" t="s">
        <v>34</v>
      </c>
      <c r="B37" s="30" t="n">
        <v>2021</v>
      </c>
      <c r="C37" s="31" t="s">
        <v>1636</v>
      </c>
      <c r="D37" s="32" t="s">
        <v>1640</v>
      </c>
      <c r="E37" s="33" t="s">
        <v>1641</v>
      </c>
      <c r="F37" s="33" t="s">
        <v>1542</v>
      </c>
      <c r="G37" s="33" t="s">
        <v>1543</v>
      </c>
      <c r="H37" s="34" t="s">
        <v>1642</v>
      </c>
    </row>
    <row r="38" customFormat="false" ht="15" hidden="false" customHeight="true" outlineLevel="0" collapsed="false">
      <c r="A38" s="29" t="s">
        <v>34</v>
      </c>
      <c r="B38" s="30" t="n">
        <v>2021</v>
      </c>
      <c r="C38" s="31" t="s">
        <v>1636</v>
      </c>
      <c r="D38" s="32" t="s">
        <v>1643</v>
      </c>
      <c r="E38" s="33" t="s">
        <v>1644</v>
      </c>
      <c r="F38" s="33" t="s">
        <v>1542</v>
      </c>
      <c r="G38" s="33" t="s">
        <v>1543</v>
      </c>
      <c r="H38" s="34" t="s">
        <v>1645</v>
      </c>
    </row>
    <row r="39" customFormat="false" ht="15" hidden="false" customHeight="true" outlineLevel="0" collapsed="false">
      <c r="A39" s="29" t="s">
        <v>34</v>
      </c>
      <c r="B39" s="30" t="n">
        <v>2021</v>
      </c>
      <c r="C39" s="31" t="s">
        <v>1550</v>
      </c>
      <c r="D39" s="32" t="s">
        <v>1646</v>
      </c>
      <c r="E39" s="33" t="s">
        <v>1647</v>
      </c>
      <c r="F39" s="33" t="s">
        <v>731</v>
      </c>
      <c r="G39" s="33" t="s">
        <v>1543</v>
      </c>
      <c r="H39" s="34" t="s">
        <v>1648</v>
      </c>
    </row>
    <row r="40" customFormat="false" ht="15" hidden="false" customHeight="true" outlineLevel="0" collapsed="false">
      <c r="A40" s="29" t="s">
        <v>34</v>
      </c>
      <c r="B40" s="30" t="n">
        <v>2021</v>
      </c>
      <c r="C40" s="31" t="s">
        <v>1550</v>
      </c>
      <c r="D40" s="32" t="s">
        <v>1649</v>
      </c>
      <c r="E40" s="33" t="s">
        <v>1650</v>
      </c>
      <c r="F40" s="33" t="s">
        <v>1542</v>
      </c>
      <c r="G40" s="33" t="s">
        <v>1543</v>
      </c>
      <c r="H40" s="34" t="s">
        <v>1651</v>
      </c>
    </row>
    <row r="41" customFormat="false" ht="15" hidden="false" customHeight="true" outlineLevel="0" collapsed="false">
      <c r="A41" s="29" t="s">
        <v>34</v>
      </c>
      <c r="B41" s="30" t="n">
        <v>2021</v>
      </c>
      <c r="C41" s="31" t="s">
        <v>1550</v>
      </c>
      <c r="D41" s="32" t="s">
        <v>1652</v>
      </c>
      <c r="E41" s="33" t="s">
        <v>1653</v>
      </c>
      <c r="F41" s="33" t="s">
        <v>1542</v>
      </c>
      <c r="G41" s="33" t="s">
        <v>1543</v>
      </c>
      <c r="H41" s="34" t="s">
        <v>1654</v>
      </c>
    </row>
    <row r="42" customFormat="false" ht="15" hidden="false" customHeight="true" outlineLevel="0" collapsed="false">
      <c r="A42" s="29" t="s">
        <v>34</v>
      </c>
      <c r="B42" s="30" t="n">
        <v>2021</v>
      </c>
      <c r="C42" s="31" t="s">
        <v>1655</v>
      </c>
      <c r="D42" s="32" t="s">
        <v>1656</v>
      </c>
      <c r="E42" s="33" t="s">
        <v>1657</v>
      </c>
      <c r="F42" s="33" t="s">
        <v>416</v>
      </c>
      <c r="G42" s="33" t="s">
        <v>1543</v>
      </c>
      <c r="H42" s="34" t="s">
        <v>1658</v>
      </c>
    </row>
    <row r="43" customFormat="false" ht="18.75" hidden="false" customHeight="true" outlineLevel="0" collapsed="false">
      <c r="A43" s="29" t="s">
        <v>34</v>
      </c>
      <c r="B43" s="30" t="n">
        <v>2021</v>
      </c>
      <c r="C43" s="31" t="s">
        <v>1655</v>
      </c>
      <c r="D43" s="32" t="s">
        <v>1659</v>
      </c>
      <c r="E43" s="33" t="s">
        <v>1660</v>
      </c>
      <c r="F43" s="33" t="s">
        <v>1542</v>
      </c>
      <c r="G43" s="33" t="s">
        <v>1543</v>
      </c>
      <c r="H43" s="34" t="s">
        <v>1661</v>
      </c>
    </row>
    <row r="44" customFormat="false" ht="15" hidden="false" customHeight="true" outlineLevel="0" collapsed="false">
      <c r="A44" s="29" t="s">
        <v>34</v>
      </c>
      <c r="B44" s="30" t="n">
        <v>2021</v>
      </c>
      <c r="C44" s="31" t="s">
        <v>1655</v>
      </c>
      <c r="D44" s="32" t="s">
        <v>1662</v>
      </c>
      <c r="E44" s="33" t="s">
        <v>1663</v>
      </c>
      <c r="F44" s="33" t="s">
        <v>1542</v>
      </c>
      <c r="G44" s="33" t="s">
        <v>1543</v>
      </c>
      <c r="H44" s="34" t="s">
        <v>1664</v>
      </c>
    </row>
    <row r="45" customFormat="false" ht="15" hidden="false" customHeight="true" outlineLevel="0" collapsed="false">
      <c r="A45" s="29" t="s">
        <v>34</v>
      </c>
      <c r="B45" s="30" t="n">
        <v>2021</v>
      </c>
      <c r="C45" s="31" t="s">
        <v>1665</v>
      </c>
      <c r="D45" s="32" t="s">
        <v>1666</v>
      </c>
      <c r="E45" s="33" t="s">
        <v>1667</v>
      </c>
      <c r="F45" s="33" t="s">
        <v>416</v>
      </c>
      <c r="G45" s="33" t="s">
        <v>1543</v>
      </c>
      <c r="H45" s="34" t="s">
        <v>1668</v>
      </c>
    </row>
    <row r="46" customFormat="false" ht="15" hidden="false" customHeight="true" outlineLevel="0" collapsed="false">
      <c r="A46" s="29" t="s">
        <v>34</v>
      </c>
      <c r="B46" s="30" t="n">
        <v>2021</v>
      </c>
      <c r="C46" s="31" t="s">
        <v>1665</v>
      </c>
      <c r="D46" s="32" t="s">
        <v>1669</v>
      </c>
      <c r="E46" s="33" t="s">
        <v>1670</v>
      </c>
      <c r="F46" s="33" t="s">
        <v>1542</v>
      </c>
      <c r="G46" s="33" t="s">
        <v>1543</v>
      </c>
      <c r="H46" s="34" t="s">
        <v>1671</v>
      </c>
    </row>
    <row r="47" customFormat="false" ht="15" hidden="false" customHeight="true" outlineLevel="0" collapsed="false">
      <c r="A47" s="29" t="s">
        <v>34</v>
      </c>
      <c r="B47" s="30" t="n">
        <v>2021</v>
      </c>
      <c r="C47" s="31" t="s">
        <v>1665</v>
      </c>
      <c r="D47" s="32" t="s">
        <v>1672</v>
      </c>
      <c r="E47" s="33" t="s">
        <v>1673</v>
      </c>
      <c r="F47" s="33" t="s">
        <v>1542</v>
      </c>
      <c r="G47" s="33" t="s">
        <v>1543</v>
      </c>
      <c r="H47" s="34" t="s">
        <v>1674</v>
      </c>
    </row>
    <row r="48" customFormat="false" ht="15" hidden="false" customHeight="true" outlineLevel="0" collapsed="false">
      <c r="A48" s="29" t="s">
        <v>34</v>
      </c>
      <c r="B48" s="30" t="n">
        <v>2021</v>
      </c>
      <c r="C48" s="31" t="s">
        <v>1665</v>
      </c>
      <c r="D48" s="32" t="s">
        <v>1675</v>
      </c>
      <c r="E48" s="33" t="s">
        <v>1676</v>
      </c>
      <c r="F48" s="33" t="s">
        <v>731</v>
      </c>
      <c r="G48" s="33" t="s">
        <v>1543</v>
      </c>
      <c r="H48" s="34" t="s">
        <v>1677</v>
      </c>
    </row>
    <row r="49" customFormat="false" ht="15" hidden="false" customHeight="true" outlineLevel="0" collapsed="false">
      <c r="A49" s="29" t="s">
        <v>34</v>
      </c>
      <c r="B49" s="30" t="n">
        <v>2021</v>
      </c>
      <c r="C49" s="31" t="s">
        <v>1678</v>
      </c>
      <c r="D49" s="32" t="s">
        <v>1679</v>
      </c>
      <c r="E49" s="33" t="s">
        <v>1680</v>
      </c>
      <c r="F49" s="33" t="s">
        <v>731</v>
      </c>
      <c r="G49" s="33" t="s">
        <v>1543</v>
      </c>
      <c r="H49" s="34" t="s">
        <v>1681</v>
      </c>
    </row>
    <row r="50" customFormat="false" ht="15" hidden="false" customHeight="true" outlineLevel="0" collapsed="false">
      <c r="A50" s="29" t="s">
        <v>34</v>
      </c>
      <c r="B50" s="30" t="n">
        <v>2021</v>
      </c>
      <c r="C50" s="31" t="s">
        <v>1678</v>
      </c>
      <c r="D50" s="32" t="s">
        <v>1682</v>
      </c>
      <c r="E50" s="33" t="s">
        <v>1683</v>
      </c>
      <c r="F50" s="33" t="s">
        <v>731</v>
      </c>
      <c r="G50" s="33" t="s">
        <v>1543</v>
      </c>
      <c r="H50" s="34" t="s">
        <v>1684</v>
      </c>
    </row>
    <row r="51" customFormat="false" ht="15" hidden="false" customHeight="true" outlineLevel="0" collapsed="false">
      <c r="A51" s="29" t="s">
        <v>34</v>
      </c>
      <c r="B51" s="30" t="n">
        <v>2021</v>
      </c>
      <c r="C51" s="31" t="s">
        <v>1573</v>
      </c>
      <c r="D51" s="32" t="s">
        <v>1685</v>
      </c>
      <c r="E51" s="33" t="s">
        <v>1686</v>
      </c>
      <c r="F51" s="33" t="s">
        <v>731</v>
      </c>
      <c r="G51" s="33" t="s">
        <v>1543</v>
      </c>
      <c r="H51" s="34" t="s">
        <v>1687</v>
      </c>
    </row>
    <row r="52" customFormat="false" ht="15" hidden="false" customHeight="true" outlineLevel="0" collapsed="false">
      <c r="A52" s="29" t="s">
        <v>34</v>
      </c>
      <c r="B52" s="30" t="n">
        <v>2021</v>
      </c>
      <c r="C52" s="31" t="s">
        <v>1573</v>
      </c>
      <c r="D52" s="32" t="s">
        <v>1688</v>
      </c>
      <c r="E52" s="33" t="s">
        <v>1689</v>
      </c>
      <c r="F52" s="33" t="s">
        <v>1542</v>
      </c>
      <c r="G52" s="33" t="s">
        <v>1543</v>
      </c>
      <c r="H52" s="34" t="s">
        <v>1690</v>
      </c>
    </row>
    <row r="53" customFormat="false" ht="15" hidden="false" customHeight="true" outlineLevel="0" collapsed="false">
      <c r="A53" s="29" t="s">
        <v>34</v>
      </c>
      <c r="B53" s="30" t="n">
        <v>2021</v>
      </c>
      <c r="C53" s="31" t="s">
        <v>1573</v>
      </c>
      <c r="D53" s="32" t="s">
        <v>1691</v>
      </c>
      <c r="E53" s="33" t="s">
        <v>1692</v>
      </c>
      <c r="F53" s="33" t="s">
        <v>1542</v>
      </c>
      <c r="G53" s="33" t="s">
        <v>1543</v>
      </c>
      <c r="H53" s="34" t="s">
        <v>1693</v>
      </c>
    </row>
    <row r="54" customFormat="false" ht="15" hidden="false" customHeight="true" outlineLevel="0" collapsed="false">
      <c r="A54" s="29" t="s">
        <v>34</v>
      </c>
      <c r="B54" s="30" t="n">
        <v>2021</v>
      </c>
      <c r="C54" s="31" t="s">
        <v>1573</v>
      </c>
      <c r="D54" s="32" t="s">
        <v>1694</v>
      </c>
      <c r="E54" s="33" t="s">
        <v>1695</v>
      </c>
      <c r="F54" s="33" t="s">
        <v>416</v>
      </c>
      <c r="G54" s="33" t="s">
        <v>1543</v>
      </c>
      <c r="H54" s="34" t="s">
        <v>1696</v>
      </c>
    </row>
    <row r="55" customFormat="false" ht="15" hidden="false" customHeight="true" outlineLevel="0" collapsed="false">
      <c r="A55" s="29" t="s">
        <v>34</v>
      </c>
      <c r="B55" s="30" t="n">
        <v>2021</v>
      </c>
      <c r="C55" s="31" t="s">
        <v>1557</v>
      </c>
      <c r="D55" s="32" t="s">
        <v>1697</v>
      </c>
      <c r="E55" s="33" t="s">
        <v>1698</v>
      </c>
      <c r="F55" s="33" t="s">
        <v>1542</v>
      </c>
      <c r="G55" s="33" t="s">
        <v>1543</v>
      </c>
      <c r="H55" s="34" t="s">
        <v>1699</v>
      </c>
    </row>
    <row r="56" customFormat="false" ht="15" hidden="false" customHeight="true" outlineLevel="0" collapsed="false">
      <c r="A56" s="29" t="s">
        <v>34</v>
      </c>
      <c r="B56" s="30" t="n">
        <v>2021</v>
      </c>
      <c r="C56" s="31" t="s">
        <v>1557</v>
      </c>
      <c r="D56" s="32" t="s">
        <v>1700</v>
      </c>
      <c r="E56" s="33" t="s">
        <v>1701</v>
      </c>
      <c r="F56" s="33" t="s">
        <v>1542</v>
      </c>
      <c r="G56" s="33" t="s">
        <v>1543</v>
      </c>
      <c r="H56" s="34" t="s">
        <v>1702</v>
      </c>
    </row>
    <row r="57" customFormat="false" ht="15" hidden="false" customHeight="true" outlineLevel="0" collapsed="false">
      <c r="A57" s="29" t="s">
        <v>34</v>
      </c>
      <c r="B57" s="30" t="n">
        <v>2021</v>
      </c>
      <c r="C57" s="31" t="s">
        <v>1557</v>
      </c>
      <c r="D57" s="32" t="s">
        <v>1703</v>
      </c>
      <c r="E57" s="33" t="s">
        <v>1704</v>
      </c>
      <c r="F57" s="33" t="s">
        <v>731</v>
      </c>
      <c r="G57" s="33" t="s">
        <v>1543</v>
      </c>
      <c r="H57" s="34" t="s">
        <v>1705</v>
      </c>
    </row>
    <row r="58" customFormat="false" ht="15" hidden="false" customHeight="true" outlineLevel="0" collapsed="false">
      <c r="A58" s="29" t="s">
        <v>34</v>
      </c>
      <c r="B58" s="30" t="n">
        <v>2021</v>
      </c>
      <c r="C58" s="31" t="s">
        <v>1557</v>
      </c>
      <c r="D58" s="32" t="s">
        <v>1706</v>
      </c>
      <c r="E58" s="33" t="s">
        <v>1707</v>
      </c>
      <c r="F58" s="33" t="s">
        <v>416</v>
      </c>
      <c r="G58" s="33" t="s">
        <v>1543</v>
      </c>
      <c r="H58" s="34" t="s">
        <v>1708</v>
      </c>
    </row>
    <row r="59" customFormat="false" ht="15" hidden="false" customHeight="true" outlineLevel="0" collapsed="false">
      <c r="A59" s="29" t="s">
        <v>34</v>
      </c>
      <c r="B59" s="30" t="n">
        <v>2021</v>
      </c>
      <c r="C59" s="31" t="s">
        <v>1557</v>
      </c>
      <c r="D59" s="32" t="s">
        <v>1709</v>
      </c>
      <c r="E59" s="33" t="s">
        <v>1710</v>
      </c>
      <c r="F59" s="33" t="s">
        <v>416</v>
      </c>
      <c r="G59" s="33" t="s">
        <v>1543</v>
      </c>
      <c r="H59" s="34" t="s">
        <v>1711</v>
      </c>
    </row>
    <row r="60" customFormat="false" ht="15" hidden="false" customHeight="true" outlineLevel="0" collapsed="false">
      <c r="A60" s="29" t="s">
        <v>34</v>
      </c>
      <c r="B60" s="30" t="n">
        <v>2021</v>
      </c>
      <c r="C60" s="31" t="s">
        <v>1581</v>
      </c>
      <c r="D60" s="32" t="s">
        <v>1712</v>
      </c>
      <c r="E60" s="33" t="s">
        <v>1713</v>
      </c>
      <c r="F60" s="33" t="s">
        <v>1542</v>
      </c>
      <c r="G60" s="33" t="s">
        <v>1543</v>
      </c>
      <c r="H60" s="34" t="s">
        <v>1714</v>
      </c>
    </row>
    <row r="61" customFormat="false" ht="15" hidden="false" customHeight="true" outlineLevel="0" collapsed="false">
      <c r="A61" s="29" t="s">
        <v>34</v>
      </c>
      <c r="B61" s="30" t="n">
        <v>2021</v>
      </c>
      <c r="C61" s="31" t="s">
        <v>1581</v>
      </c>
      <c r="D61" s="32" t="s">
        <v>1715</v>
      </c>
      <c r="E61" s="33" t="s">
        <v>1716</v>
      </c>
      <c r="F61" s="33" t="s">
        <v>731</v>
      </c>
      <c r="G61" s="33" t="s">
        <v>1543</v>
      </c>
      <c r="H61" s="34" t="s">
        <v>1717</v>
      </c>
    </row>
    <row r="62" customFormat="false" ht="15" hidden="false" customHeight="true" outlineLevel="0" collapsed="false">
      <c r="A62" s="29" t="s">
        <v>34</v>
      </c>
      <c r="B62" s="30" t="n">
        <v>2021</v>
      </c>
      <c r="C62" s="31" t="s">
        <v>1539</v>
      </c>
      <c r="D62" s="32" t="s">
        <v>1718</v>
      </c>
      <c r="E62" s="33" t="s">
        <v>1719</v>
      </c>
      <c r="F62" s="33" t="s">
        <v>1027</v>
      </c>
      <c r="G62" s="33" t="s">
        <v>1543</v>
      </c>
      <c r="H62" s="34" t="s">
        <v>1720</v>
      </c>
    </row>
    <row r="63" customFormat="false" ht="18.75" hidden="false" customHeight="true" outlineLevel="0" collapsed="false">
      <c r="A63" s="29" t="s">
        <v>34</v>
      </c>
      <c r="B63" s="30" t="n">
        <v>2021</v>
      </c>
      <c r="C63" s="31" t="s">
        <v>1539</v>
      </c>
      <c r="D63" s="32" t="s">
        <v>1721</v>
      </c>
      <c r="E63" s="33" t="s">
        <v>1722</v>
      </c>
      <c r="F63" s="33" t="s">
        <v>1542</v>
      </c>
      <c r="G63" s="33" t="s">
        <v>1543</v>
      </c>
      <c r="H63" s="34" t="s">
        <v>1723</v>
      </c>
    </row>
    <row r="64" customFormat="false" ht="15" hidden="false" customHeight="true" outlineLevel="0" collapsed="false">
      <c r="A64" s="29" t="s">
        <v>34</v>
      </c>
      <c r="B64" s="30" t="n">
        <v>2022</v>
      </c>
      <c r="C64" s="31" t="s">
        <v>1618</v>
      </c>
      <c r="D64" s="32" t="s">
        <v>1724</v>
      </c>
      <c r="E64" s="33" t="s">
        <v>1725</v>
      </c>
      <c r="F64" s="33" t="s">
        <v>1542</v>
      </c>
      <c r="G64" s="33" t="s">
        <v>1543</v>
      </c>
      <c r="H64" s="34" t="s">
        <v>1726</v>
      </c>
    </row>
    <row r="65" customFormat="false" ht="15" hidden="false" customHeight="true" outlineLevel="0" collapsed="false">
      <c r="A65" s="29" t="s">
        <v>34</v>
      </c>
      <c r="B65" s="30" t="n">
        <v>2022</v>
      </c>
      <c r="C65" s="31" t="s">
        <v>1618</v>
      </c>
      <c r="D65" s="32" t="s">
        <v>1727</v>
      </c>
      <c r="E65" s="33" t="s">
        <v>1728</v>
      </c>
      <c r="F65" s="33" t="s">
        <v>1542</v>
      </c>
      <c r="G65" s="33" t="s">
        <v>1543</v>
      </c>
      <c r="H65" s="34" t="s">
        <v>1729</v>
      </c>
    </row>
    <row r="66" customFormat="false" ht="15" hidden="false" customHeight="true" outlineLevel="0" collapsed="false">
      <c r="A66" s="29" t="s">
        <v>34</v>
      </c>
      <c r="B66" s="30" t="n">
        <v>2022</v>
      </c>
      <c r="C66" s="31" t="s">
        <v>1618</v>
      </c>
      <c r="D66" s="32" t="s">
        <v>1730</v>
      </c>
      <c r="E66" s="33" t="s">
        <v>1731</v>
      </c>
      <c r="F66" s="33" t="s">
        <v>1542</v>
      </c>
      <c r="G66" s="33" t="s">
        <v>1543</v>
      </c>
      <c r="H66" s="34" t="s">
        <v>1732</v>
      </c>
    </row>
    <row r="67" customFormat="false" ht="15" hidden="false" customHeight="true" outlineLevel="0" collapsed="false">
      <c r="A67" s="29" t="s">
        <v>34</v>
      </c>
      <c r="B67" s="30" t="n">
        <v>2022</v>
      </c>
      <c r="C67" s="31" t="s">
        <v>1629</v>
      </c>
      <c r="D67" s="32" t="s">
        <v>1733</v>
      </c>
      <c r="E67" s="33" t="s">
        <v>1734</v>
      </c>
      <c r="F67" s="33" t="s">
        <v>731</v>
      </c>
      <c r="G67" s="33" t="s">
        <v>1543</v>
      </c>
      <c r="H67" s="34" t="s">
        <v>1735</v>
      </c>
    </row>
    <row r="68" customFormat="false" ht="15" hidden="false" customHeight="true" outlineLevel="0" collapsed="false">
      <c r="A68" s="29" t="s">
        <v>34</v>
      </c>
      <c r="B68" s="30" t="n">
        <v>2022</v>
      </c>
      <c r="C68" s="31" t="s">
        <v>1629</v>
      </c>
      <c r="D68" s="32" t="s">
        <v>1736</v>
      </c>
      <c r="E68" s="33" t="s">
        <v>1737</v>
      </c>
      <c r="F68" s="33" t="s">
        <v>731</v>
      </c>
      <c r="G68" s="33" t="s">
        <v>1543</v>
      </c>
      <c r="H68" s="34" t="s">
        <v>1738</v>
      </c>
    </row>
    <row r="69" customFormat="false" ht="15" hidden="false" customHeight="true" outlineLevel="0" collapsed="false">
      <c r="A69" s="29" t="s">
        <v>34</v>
      </c>
      <c r="B69" s="30" t="n">
        <v>2022</v>
      </c>
      <c r="C69" s="31" t="s">
        <v>1629</v>
      </c>
      <c r="D69" s="32" t="s">
        <v>1739</v>
      </c>
      <c r="E69" s="33" t="s">
        <v>1740</v>
      </c>
      <c r="F69" s="33" t="s">
        <v>1542</v>
      </c>
      <c r="G69" s="33" t="s">
        <v>1543</v>
      </c>
      <c r="H69" s="34" t="s">
        <v>1741</v>
      </c>
    </row>
    <row r="70" customFormat="false" ht="15" hidden="false" customHeight="true" outlineLevel="0" collapsed="false">
      <c r="A70" s="29" t="s">
        <v>34</v>
      </c>
      <c r="B70" s="30" t="n">
        <v>2022</v>
      </c>
      <c r="C70" s="31" t="s">
        <v>1629</v>
      </c>
      <c r="D70" s="32" t="s">
        <v>1742</v>
      </c>
      <c r="E70" s="33" t="s">
        <v>1743</v>
      </c>
      <c r="F70" s="33" t="s">
        <v>1542</v>
      </c>
      <c r="G70" s="33" t="s">
        <v>1543</v>
      </c>
      <c r="H70" s="34" t="s">
        <v>1744</v>
      </c>
    </row>
    <row r="71" customFormat="false" ht="15" hidden="false" customHeight="true" outlineLevel="0" collapsed="false">
      <c r="A71" s="29" t="s">
        <v>34</v>
      </c>
      <c r="B71" s="30" t="n">
        <v>2022</v>
      </c>
      <c r="C71" s="31" t="s">
        <v>1636</v>
      </c>
      <c r="D71" s="32" t="s">
        <v>1745</v>
      </c>
      <c r="E71" s="33" t="s">
        <v>1746</v>
      </c>
      <c r="F71" s="33" t="s">
        <v>1542</v>
      </c>
      <c r="G71" s="33" t="s">
        <v>1543</v>
      </c>
      <c r="H71" s="34" t="s">
        <v>1747</v>
      </c>
    </row>
    <row r="72" customFormat="false" ht="15" hidden="false" customHeight="true" outlineLevel="0" collapsed="false">
      <c r="A72" s="29" t="s">
        <v>34</v>
      </c>
      <c r="B72" s="30" t="n">
        <v>2022</v>
      </c>
      <c r="C72" s="31" t="s">
        <v>1636</v>
      </c>
      <c r="D72" s="32" t="s">
        <v>1748</v>
      </c>
      <c r="E72" s="33" t="s">
        <v>1749</v>
      </c>
      <c r="F72" s="33" t="s">
        <v>1542</v>
      </c>
      <c r="G72" s="33" t="s">
        <v>1543</v>
      </c>
      <c r="H72" s="34" t="s">
        <v>1750</v>
      </c>
    </row>
    <row r="73" customFormat="false" ht="15" hidden="false" customHeight="true" outlineLevel="0" collapsed="false">
      <c r="A73" s="29" t="s">
        <v>34</v>
      </c>
      <c r="B73" s="30" t="n">
        <v>2022</v>
      </c>
      <c r="C73" s="31" t="s">
        <v>1636</v>
      </c>
      <c r="D73" s="32" t="s">
        <v>1751</v>
      </c>
      <c r="E73" s="33" t="s">
        <v>1752</v>
      </c>
      <c r="F73" s="33" t="s">
        <v>416</v>
      </c>
      <c r="G73" s="33" t="s">
        <v>1543</v>
      </c>
      <c r="H73" s="34" t="s">
        <v>1753</v>
      </c>
    </row>
    <row r="74" customFormat="false" ht="15" hidden="false" customHeight="true" outlineLevel="0" collapsed="false">
      <c r="A74" s="29" t="s">
        <v>34</v>
      </c>
      <c r="B74" s="30" t="n">
        <v>2022</v>
      </c>
      <c r="C74" s="31" t="s">
        <v>1636</v>
      </c>
      <c r="D74" s="32" t="s">
        <v>1754</v>
      </c>
      <c r="E74" s="33" t="s">
        <v>1755</v>
      </c>
      <c r="F74" s="33" t="s">
        <v>1542</v>
      </c>
      <c r="G74" s="33" t="s">
        <v>1543</v>
      </c>
      <c r="H74" s="34" t="s">
        <v>1756</v>
      </c>
    </row>
    <row r="75" customFormat="false" ht="15" hidden="false" customHeight="true" outlineLevel="0" collapsed="false">
      <c r="A75" s="29" t="s">
        <v>34</v>
      </c>
      <c r="B75" s="30" t="n">
        <v>2022</v>
      </c>
      <c r="C75" s="31" t="s">
        <v>1550</v>
      </c>
      <c r="D75" s="32" t="s">
        <v>1757</v>
      </c>
      <c r="E75" s="33" t="s">
        <v>1758</v>
      </c>
      <c r="F75" s="33" t="s">
        <v>731</v>
      </c>
      <c r="G75" s="33" t="s">
        <v>1543</v>
      </c>
      <c r="H75" s="34" t="s">
        <v>1759</v>
      </c>
    </row>
    <row r="76" customFormat="false" ht="15" hidden="false" customHeight="true" outlineLevel="0" collapsed="false">
      <c r="A76" s="29" t="s">
        <v>34</v>
      </c>
      <c r="B76" s="30" t="n">
        <v>2022</v>
      </c>
      <c r="C76" s="31" t="s">
        <v>1550</v>
      </c>
      <c r="D76" s="32" t="s">
        <v>1760</v>
      </c>
      <c r="E76" s="33" t="s">
        <v>1761</v>
      </c>
      <c r="F76" s="33" t="s">
        <v>1542</v>
      </c>
      <c r="G76" s="33" t="s">
        <v>1543</v>
      </c>
      <c r="H76" s="34" t="s">
        <v>1762</v>
      </c>
    </row>
    <row r="77" customFormat="false" ht="15" hidden="false" customHeight="true" outlineLevel="0" collapsed="false">
      <c r="A77" s="29" t="s">
        <v>34</v>
      </c>
      <c r="B77" s="30" t="n">
        <v>2022</v>
      </c>
      <c r="C77" s="31" t="s">
        <v>1655</v>
      </c>
      <c r="D77" s="32" t="s">
        <v>1763</v>
      </c>
      <c r="E77" s="33" t="s">
        <v>1764</v>
      </c>
      <c r="F77" s="33" t="s">
        <v>416</v>
      </c>
      <c r="G77" s="33" t="s">
        <v>1543</v>
      </c>
      <c r="H77" s="34" t="s">
        <v>1765</v>
      </c>
    </row>
    <row r="78" customFormat="false" ht="15" hidden="false" customHeight="true" outlineLevel="0" collapsed="false">
      <c r="A78" s="29" t="s">
        <v>34</v>
      </c>
      <c r="B78" s="30" t="n">
        <v>2022</v>
      </c>
      <c r="C78" s="31" t="s">
        <v>1655</v>
      </c>
      <c r="D78" s="32" t="s">
        <v>1766</v>
      </c>
      <c r="E78" s="33" t="s">
        <v>1767</v>
      </c>
      <c r="F78" s="33" t="s">
        <v>1542</v>
      </c>
      <c r="G78" s="33" t="s">
        <v>1543</v>
      </c>
      <c r="H78" s="34" t="s">
        <v>1768</v>
      </c>
    </row>
    <row r="79" customFormat="false" ht="15" hidden="false" customHeight="true" outlineLevel="0" collapsed="false">
      <c r="A79" s="29" t="s">
        <v>34</v>
      </c>
      <c r="B79" s="30" t="n">
        <v>2022</v>
      </c>
      <c r="C79" s="31" t="s">
        <v>1655</v>
      </c>
      <c r="D79" s="32" t="s">
        <v>1769</v>
      </c>
      <c r="E79" s="33" t="s">
        <v>1770</v>
      </c>
      <c r="F79" s="33" t="s">
        <v>1542</v>
      </c>
      <c r="G79" s="33" t="s">
        <v>1543</v>
      </c>
      <c r="H79" s="34" t="s">
        <v>1771</v>
      </c>
    </row>
    <row r="80" customFormat="false" ht="15" hidden="false" customHeight="true" outlineLevel="0" collapsed="false">
      <c r="A80" s="29" t="s">
        <v>34</v>
      </c>
      <c r="B80" s="30" t="n">
        <v>2022</v>
      </c>
      <c r="C80" s="31" t="s">
        <v>1772</v>
      </c>
      <c r="D80" s="32" t="s">
        <v>1773</v>
      </c>
      <c r="E80" s="33" t="s">
        <v>1774</v>
      </c>
      <c r="F80" s="33" t="s">
        <v>1542</v>
      </c>
      <c r="G80" s="33" t="s">
        <v>1543</v>
      </c>
      <c r="H80" s="34" t="s">
        <v>1775</v>
      </c>
    </row>
    <row r="81" customFormat="false" ht="15" hidden="false" customHeight="true" outlineLevel="0" collapsed="false">
      <c r="A81" s="29" t="s">
        <v>34</v>
      </c>
      <c r="B81" s="30" t="n">
        <v>2022</v>
      </c>
      <c r="C81" s="31" t="s">
        <v>1772</v>
      </c>
      <c r="D81" s="32" t="s">
        <v>1776</v>
      </c>
      <c r="E81" s="33" t="s">
        <v>1777</v>
      </c>
      <c r="F81" s="33" t="s">
        <v>1027</v>
      </c>
      <c r="G81" s="33" t="s">
        <v>1543</v>
      </c>
      <c r="H81" s="34" t="s">
        <v>1778</v>
      </c>
    </row>
    <row r="82" customFormat="false" ht="15" hidden="false" customHeight="true" outlineLevel="0" collapsed="false">
      <c r="A82" s="29" t="s">
        <v>34</v>
      </c>
      <c r="B82" s="30" t="n">
        <v>2022</v>
      </c>
      <c r="C82" s="31" t="s">
        <v>1772</v>
      </c>
      <c r="D82" s="32" t="s">
        <v>1779</v>
      </c>
      <c r="E82" s="33" t="s">
        <v>1780</v>
      </c>
      <c r="F82" s="33" t="s">
        <v>1542</v>
      </c>
      <c r="G82" s="33" t="s">
        <v>1543</v>
      </c>
      <c r="H82" s="34" t="s">
        <v>1781</v>
      </c>
    </row>
    <row r="83" customFormat="false" ht="15" hidden="false" customHeight="true" outlineLevel="0" collapsed="false">
      <c r="A83" s="29" t="s">
        <v>34</v>
      </c>
      <c r="B83" s="30" t="n">
        <v>2022</v>
      </c>
      <c r="C83" s="31" t="s">
        <v>1678</v>
      </c>
      <c r="D83" s="32" t="s">
        <v>1782</v>
      </c>
      <c r="E83" s="33" t="s">
        <v>1783</v>
      </c>
      <c r="F83" s="33" t="s">
        <v>1542</v>
      </c>
      <c r="G83" s="33" t="s">
        <v>1543</v>
      </c>
      <c r="H83" s="34" t="s">
        <v>1784</v>
      </c>
    </row>
    <row r="84" customFormat="false" ht="15" hidden="false" customHeight="true" outlineLevel="0" collapsed="false">
      <c r="A84" s="29" t="s">
        <v>34</v>
      </c>
      <c r="B84" s="30" t="n">
        <v>2022</v>
      </c>
      <c r="C84" s="31" t="s">
        <v>1678</v>
      </c>
      <c r="D84" s="32" t="s">
        <v>1785</v>
      </c>
      <c r="E84" s="33" t="s">
        <v>1786</v>
      </c>
      <c r="F84" s="33" t="s">
        <v>731</v>
      </c>
      <c r="G84" s="33" t="s">
        <v>1543</v>
      </c>
      <c r="H84" s="34" t="s">
        <v>1787</v>
      </c>
    </row>
    <row r="85" customFormat="false" ht="15" hidden="false" customHeight="true" outlineLevel="0" collapsed="false">
      <c r="A85" s="29" t="s">
        <v>34</v>
      </c>
      <c r="B85" s="30" t="n">
        <v>2022</v>
      </c>
      <c r="C85" s="31" t="s">
        <v>1573</v>
      </c>
      <c r="D85" s="32" t="s">
        <v>1788</v>
      </c>
      <c r="E85" s="33" t="s">
        <v>1789</v>
      </c>
      <c r="F85" s="33" t="s">
        <v>1542</v>
      </c>
      <c r="G85" s="33" t="s">
        <v>1543</v>
      </c>
      <c r="H85" s="34" t="s">
        <v>1790</v>
      </c>
    </row>
    <row r="86" customFormat="false" ht="15" hidden="false" customHeight="true" outlineLevel="0" collapsed="false">
      <c r="A86" s="29" t="s">
        <v>34</v>
      </c>
      <c r="B86" s="30" t="n">
        <v>2022</v>
      </c>
      <c r="C86" s="31" t="s">
        <v>1557</v>
      </c>
      <c r="D86" s="32" t="s">
        <v>1791</v>
      </c>
      <c r="E86" s="33" t="s">
        <v>1792</v>
      </c>
      <c r="F86" s="33" t="s">
        <v>1542</v>
      </c>
      <c r="G86" s="33" t="s">
        <v>1543</v>
      </c>
      <c r="H86" s="34" t="s">
        <v>1793</v>
      </c>
    </row>
    <row r="87" customFormat="false" ht="15" hidden="false" customHeight="true" outlineLevel="0" collapsed="false">
      <c r="A87" s="29" t="s">
        <v>34</v>
      </c>
      <c r="B87" s="30" t="n">
        <v>2022</v>
      </c>
      <c r="C87" s="31" t="s">
        <v>1581</v>
      </c>
      <c r="D87" s="32" t="s">
        <v>1794</v>
      </c>
      <c r="E87" s="33" t="s">
        <v>1795</v>
      </c>
      <c r="F87" s="33" t="s">
        <v>731</v>
      </c>
      <c r="G87" s="33" t="s">
        <v>1543</v>
      </c>
      <c r="H87" s="34" t="s">
        <v>1796</v>
      </c>
    </row>
    <row r="88" customFormat="false" ht="15" hidden="false" customHeight="true" outlineLevel="0" collapsed="false">
      <c r="A88" s="29" t="s">
        <v>34</v>
      </c>
      <c r="B88" s="30" t="n">
        <v>2022</v>
      </c>
      <c r="C88" s="31" t="s">
        <v>1581</v>
      </c>
      <c r="D88" s="32" t="s">
        <v>1797</v>
      </c>
      <c r="E88" s="33" t="s">
        <v>1798</v>
      </c>
      <c r="F88" s="33" t="s">
        <v>731</v>
      </c>
      <c r="G88" s="33" t="s">
        <v>1543</v>
      </c>
      <c r="H88" s="34" t="s">
        <v>1799</v>
      </c>
    </row>
    <row r="89" customFormat="false" ht="15" hidden="false" customHeight="true" outlineLevel="0" collapsed="false">
      <c r="A89" s="29" t="s">
        <v>34</v>
      </c>
      <c r="B89" s="30" t="n">
        <v>2022</v>
      </c>
      <c r="C89" s="31" t="s">
        <v>1539</v>
      </c>
      <c r="D89" s="32" t="s">
        <v>1800</v>
      </c>
      <c r="E89" s="33" t="s">
        <v>1801</v>
      </c>
      <c r="F89" s="33" t="s">
        <v>416</v>
      </c>
      <c r="G89" s="33" t="s">
        <v>1543</v>
      </c>
      <c r="H89" s="34" t="s">
        <v>1802</v>
      </c>
    </row>
    <row r="90" customFormat="false" ht="15" hidden="false" customHeight="true" outlineLevel="0" collapsed="false">
      <c r="A90" s="29" t="s">
        <v>34</v>
      </c>
      <c r="B90" s="30" t="n">
        <v>2022</v>
      </c>
      <c r="C90" s="31" t="s">
        <v>1539</v>
      </c>
      <c r="D90" s="32" t="s">
        <v>1803</v>
      </c>
      <c r="E90" s="33" t="s">
        <v>1804</v>
      </c>
      <c r="F90" s="33" t="s">
        <v>1542</v>
      </c>
      <c r="G90" s="33" t="s">
        <v>1543</v>
      </c>
      <c r="H90" s="34" t="s">
        <v>1805</v>
      </c>
    </row>
    <row r="91" customFormat="false" ht="21.75" hidden="false" customHeight="true" outlineLevel="0" collapsed="false">
      <c r="A91" s="29" t="s">
        <v>34</v>
      </c>
      <c r="B91" s="30" t="n">
        <v>2023</v>
      </c>
      <c r="C91" s="31" t="s">
        <v>1636</v>
      </c>
      <c r="D91" s="32" t="s">
        <v>1806</v>
      </c>
      <c r="E91" s="33" t="s">
        <v>1807</v>
      </c>
      <c r="F91" s="33" t="s">
        <v>416</v>
      </c>
      <c r="G91" s="33" t="s">
        <v>1543</v>
      </c>
      <c r="H91" s="34" t="s">
        <v>1808</v>
      </c>
    </row>
    <row r="92" customFormat="false" ht="15" hidden="false" customHeight="true" outlineLevel="0" collapsed="false">
      <c r="A92" s="29" t="s">
        <v>34</v>
      </c>
      <c r="B92" s="30" t="n">
        <v>2023</v>
      </c>
      <c r="C92" s="31" t="s">
        <v>1550</v>
      </c>
      <c r="D92" s="32" t="s">
        <v>1809</v>
      </c>
      <c r="E92" s="33" t="s">
        <v>1810</v>
      </c>
      <c r="F92" s="33" t="s">
        <v>416</v>
      </c>
      <c r="G92" s="33" t="s">
        <v>1543</v>
      </c>
      <c r="H92" s="34" t="s">
        <v>1811</v>
      </c>
    </row>
    <row r="93" customFormat="false" ht="15" hidden="false" customHeight="true" outlineLevel="0" collapsed="false">
      <c r="A93" s="29" t="s">
        <v>34</v>
      </c>
      <c r="B93" s="30" t="n">
        <v>2023</v>
      </c>
      <c r="C93" s="31" t="s">
        <v>1550</v>
      </c>
      <c r="D93" s="32" t="s">
        <v>1812</v>
      </c>
      <c r="E93" s="33" t="s">
        <v>1813</v>
      </c>
      <c r="F93" s="33" t="s">
        <v>731</v>
      </c>
      <c r="G93" s="33" t="s">
        <v>1543</v>
      </c>
      <c r="H93" s="34" t="s">
        <v>1814</v>
      </c>
    </row>
    <row r="94" customFormat="false" ht="15" hidden="false" customHeight="true" outlineLevel="0" collapsed="false">
      <c r="A94" s="29" t="s">
        <v>34</v>
      </c>
      <c r="B94" s="30" t="n">
        <v>2023</v>
      </c>
      <c r="C94" s="31" t="s">
        <v>1550</v>
      </c>
      <c r="D94" s="32" t="s">
        <v>1815</v>
      </c>
      <c r="E94" s="33" t="s">
        <v>1816</v>
      </c>
      <c r="F94" s="33" t="s">
        <v>1542</v>
      </c>
      <c r="G94" s="33" t="s">
        <v>1543</v>
      </c>
      <c r="H94" s="34" t="s">
        <v>1817</v>
      </c>
    </row>
    <row r="95" customFormat="false" ht="15" hidden="false" customHeight="true" outlineLevel="0" collapsed="false">
      <c r="A95" s="29" t="s">
        <v>34</v>
      </c>
      <c r="B95" s="30" t="n">
        <v>2023</v>
      </c>
      <c r="C95" s="31" t="s">
        <v>1550</v>
      </c>
      <c r="D95" s="32" t="s">
        <v>1818</v>
      </c>
      <c r="E95" s="33" t="s">
        <v>1819</v>
      </c>
      <c r="F95" s="33" t="s">
        <v>731</v>
      </c>
      <c r="G95" s="33" t="s">
        <v>1543</v>
      </c>
      <c r="H95" s="34" t="s">
        <v>1820</v>
      </c>
    </row>
    <row r="96" customFormat="false" ht="15" hidden="false" customHeight="true" outlineLevel="0" collapsed="false">
      <c r="A96" s="29" t="s">
        <v>34</v>
      </c>
      <c r="B96" s="30" t="n">
        <v>2023</v>
      </c>
      <c r="C96" s="31" t="s">
        <v>1550</v>
      </c>
      <c r="D96" s="32" t="s">
        <v>1815</v>
      </c>
      <c r="E96" s="33" t="s">
        <v>1821</v>
      </c>
      <c r="F96" s="33" t="s">
        <v>731</v>
      </c>
      <c r="G96" s="33" t="s">
        <v>1543</v>
      </c>
      <c r="H96" s="34" t="s">
        <v>1822</v>
      </c>
    </row>
    <row r="97" customFormat="false" ht="15" hidden="false" customHeight="true" outlineLevel="0" collapsed="false">
      <c r="A97" s="29" t="s">
        <v>34</v>
      </c>
      <c r="B97" s="30" t="n">
        <v>2023</v>
      </c>
      <c r="C97" s="31" t="s">
        <v>1550</v>
      </c>
      <c r="D97" s="32" t="s">
        <v>1823</v>
      </c>
      <c r="E97" s="33" t="s">
        <v>1824</v>
      </c>
      <c r="F97" s="33" t="s">
        <v>731</v>
      </c>
      <c r="G97" s="33" t="s">
        <v>1543</v>
      </c>
      <c r="H97" s="34" t="s">
        <v>1825</v>
      </c>
    </row>
    <row r="98" customFormat="false" ht="15" hidden="false" customHeight="true" outlineLevel="0" collapsed="false">
      <c r="A98" s="29" t="s">
        <v>34</v>
      </c>
      <c r="B98" s="30" t="n">
        <v>2023</v>
      </c>
      <c r="C98" s="31" t="s">
        <v>1655</v>
      </c>
      <c r="D98" s="32" t="s">
        <v>1826</v>
      </c>
      <c r="E98" s="33" t="s">
        <v>1827</v>
      </c>
      <c r="F98" s="33" t="s">
        <v>1542</v>
      </c>
      <c r="G98" s="33" t="s">
        <v>1543</v>
      </c>
      <c r="H98" s="34" t="s">
        <v>1828</v>
      </c>
    </row>
    <row r="99" customFormat="false" ht="15" hidden="false" customHeight="true" outlineLevel="0" collapsed="false">
      <c r="A99" s="29" t="s">
        <v>34</v>
      </c>
      <c r="B99" s="30" t="n">
        <v>2023</v>
      </c>
      <c r="C99" s="31" t="s">
        <v>1772</v>
      </c>
      <c r="D99" s="32" t="s">
        <v>1829</v>
      </c>
      <c r="E99" s="33" t="s">
        <v>1830</v>
      </c>
      <c r="F99" s="33" t="s">
        <v>1542</v>
      </c>
      <c r="G99" s="33" t="s">
        <v>1543</v>
      </c>
      <c r="H99" s="34" t="s">
        <v>1831</v>
      </c>
    </row>
    <row r="100" customFormat="false" ht="15" hidden="false" customHeight="true" outlineLevel="0" collapsed="false">
      <c r="A100" s="29" t="s">
        <v>34</v>
      </c>
      <c r="B100" s="30" t="n">
        <v>2023</v>
      </c>
      <c r="C100" s="31" t="s">
        <v>1772</v>
      </c>
      <c r="D100" s="32" t="s">
        <v>1832</v>
      </c>
      <c r="E100" s="33" t="s">
        <v>1833</v>
      </c>
      <c r="F100" s="33" t="s">
        <v>1542</v>
      </c>
      <c r="G100" s="33" t="s">
        <v>1543</v>
      </c>
      <c r="H100" s="34" t="s">
        <v>1834</v>
      </c>
    </row>
    <row r="101" customFormat="false" ht="15" hidden="false" customHeight="true" outlineLevel="0" collapsed="false">
      <c r="A101" s="29" t="s">
        <v>34</v>
      </c>
      <c r="B101" s="30" t="n">
        <v>2023</v>
      </c>
      <c r="C101" s="31" t="s">
        <v>1772</v>
      </c>
      <c r="D101" s="32" t="s">
        <v>1829</v>
      </c>
      <c r="E101" s="33" t="s">
        <v>1835</v>
      </c>
      <c r="F101" s="33" t="s">
        <v>1542</v>
      </c>
      <c r="G101" s="33" t="s">
        <v>1543</v>
      </c>
      <c r="H101" s="34" t="s">
        <v>1836</v>
      </c>
    </row>
    <row r="102" customFormat="false" ht="15" hidden="false" customHeight="true" outlineLevel="0" collapsed="false">
      <c r="A102" s="29" t="s">
        <v>34</v>
      </c>
      <c r="B102" s="30" t="n">
        <v>2023</v>
      </c>
      <c r="C102" s="31" t="s">
        <v>1665</v>
      </c>
      <c r="D102" s="32" t="s">
        <v>1837</v>
      </c>
      <c r="E102" s="33" t="s">
        <v>1838</v>
      </c>
      <c r="F102" s="33" t="s">
        <v>731</v>
      </c>
      <c r="G102" s="33" t="s">
        <v>1543</v>
      </c>
      <c r="H102" s="34" t="s">
        <v>1839</v>
      </c>
    </row>
    <row r="103" customFormat="false" ht="15" hidden="false" customHeight="true" outlineLevel="0" collapsed="false">
      <c r="A103" s="29" t="s">
        <v>34</v>
      </c>
      <c r="B103" s="30" t="n">
        <v>2023</v>
      </c>
      <c r="C103" s="31" t="s">
        <v>1665</v>
      </c>
      <c r="D103" s="32" t="s">
        <v>1840</v>
      </c>
      <c r="E103" s="33" t="s">
        <v>1841</v>
      </c>
      <c r="F103" s="33" t="s">
        <v>731</v>
      </c>
      <c r="G103" s="33" t="s">
        <v>1543</v>
      </c>
      <c r="H103" s="34" t="s">
        <v>1842</v>
      </c>
    </row>
    <row r="104" customFormat="false" ht="15" hidden="false" customHeight="true" outlineLevel="0" collapsed="false">
      <c r="A104" s="29" t="s">
        <v>34</v>
      </c>
      <c r="B104" s="30" t="n">
        <v>2023</v>
      </c>
      <c r="C104" s="31" t="s">
        <v>1665</v>
      </c>
      <c r="D104" s="32" t="s">
        <v>1843</v>
      </c>
      <c r="E104" s="33" t="s">
        <v>1844</v>
      </c>
      <c r="F104" s="33" t="s">
        <v>1542</v>
      </c>
      <c r="G104" s="33" t="s">
        <v>1543</v>
      </c>
      <c r="H104" s="34" t="s">
        <v>1845</v>
      </c>
    </row>
    <row r="105" customFormat="false" ht="15" hidden="false" customHeight="true" outlineLevel="0" collapsed="false">
      <c r="A105" s="29" t="s">
        <v>34</v>
      </c>
      <c r="B105" s="30" t="n">
        <v>2023</v>
      </c>
      <c r="C105" s="31" t="s">
        <v>1665</v>
      </c>
      <c r="D105" s="32" t="s">
        <v>1843</v>
      </c>
      <c r="E105" s="33" t="s">
        <v>1846</v>
      </c>
      <c r="F105" s="33" t="s">
        <v>1542</v>
      </c>
      <c r="G105" s="33" t="s">
        <v>1543</v>
      </c>
      <c r="H105" s="34" t="s">
        <v>1847</v>
      </c>
    </row>
    <row r="106" customFormat="false" ht="15" hidden="false" customHeight="true" outlineLevel="0" collapsed="false">
      <c r="A106" s="29" t="s">
        <v>34</v>
      </c>
      <c r="B106" s="30" t="n">
        <v>2023</v>
      </c>
      <c r="C106" s="31" t="s">
        <v>1665</v>
      </c>
      <c r="D106" s="32" t="s">
        <v>1848</v>
      </c>
      <c r="E106" s="33" t="s">
        <v>1849</v>
      </c>
      <c r="F106" s="33" t="s">
        <v>1542</v>
      </c>
      <c r="G106" s="33" t="s">
        <v>1543</v>
      </c>
      <c r="H106" s="34" t="s">
        <v>1850</v>
      </c>
    </row>
    <row r="107" customFormat="false" ht="15" hidden="false" customHeight="true" outlineLevel="0" collapsed="false">
      <c r="A107" s="29" t="s">
        <v>34</v>
      </c>
      <c r="B107" s="30" t="n">
        <v>2023</v>
      </c>
      <c r="C107" s="31" t="s">
        <v>1678</v>
      </c>
      <c r="D107" s="32" t="s">
        <v>1851</v>
      </c>
      <c r="E107" s="33" t="s">
        <v>1852</v>
      </c>
      <c r="F107" s="33" t="s">
        <v>731</v>
      </c>
      <c r="G107" s="33" t="s">
        <v>1543</v>
      </c>
      <c r="H107" s="34" t="s">
        <v>1853</v>
      </c>
    </row>
    <row r="108" customFormat="false" ht="15" hidden="false" customHeight="true" outlineLevel="0" collapsed="false">
      <c r="A108" s="29" t="s">
        <v>34</v>
      </c>
      <c r="B108" s="30" t="n">
        <v>2023</v>
      </c>
      <c r="C108" s="31" t="s">
        <v>1678</v>
      </c>
      <c r="D108" s="32" t="s">
        <v>1854</v>
      </c>
      <c r="E108" s="33" t="s">
        <v>1855</v>
      </c>
      <c r="F108" s="33" t="s">
        <v>416</v>
      </c>
      <c r="G108" s="33" t="s">
        <v>1543</v>
      </c>
      <c r="H108" s="34" t="s">
        <v>1856</v>
      </c>
    </row>
    <row r="109" customFormat="false" ht="15" hidden="false" customHeight="true" outlineLevel="0" collapsed="false">
      <c r="A109" s="29" t="s">
        <v>34</v>
      </c>
      <c r="B109" s="30" t="n">
        <v>2023</v>
      </c>
      <c r="C109" s="31" t="s">
        <v>1678</v>
      </c>
      <c r="D109" s="32" t="s">
        <v>1857</v>
      </c>
      <c r="E109" s="33" t="s">
        <v>1858</v>
      </c>
      <c r="F109" s="33" t="s">
        <v>1542</v>
      </c>
      <c r="G109" s="33" t="s">
        <v>1543</v>
      </c>
      <c r="H109" s="34" t="s">
        <v>1859</v>
      </c>
    </row>
    <row r="110" customFormat="false" ht="15" hidden="false" customHeight="true" outlineLevel="0" collapsed="false">
      <c r="A110" s="29" t="s">
        <v>34</v>
      </c>
      <c r="B110" s="30" t="n">
        <v>2023</v>
      </c>
      <c r="C110" s="31" t="s">
        <v>1678</v>
      </c>
      <c r="D110" s="32" t="s">
        <v>1860</v>
      </c>
      <c r="E110" s="33" t="s">
        <v>1861</v>
      </c>
      <c r="F110" s="33" t="s">
        <v>456</v>
      </c>
      <c r="G110" s="33" t="s">
        <v>1543</v>
      </c>
      <c r="H110" s="34" t="s">
        <v>1862</v>
      </c>
    </row>
    <row r="111" customFormat="false" ht="15" hidden="false" customHeight="true" outlineLevel="0" collapsed="false">
      <c r="A111" s="29" t="s">
        <v>34</v>
      </c>
      <c r="B111" s="30" t="n">
        <v>2023</v>
      </c>
      <c r="C111" s="31" t="s">
        <v>1573</v>
      </c>
      <c r="D111" s="32" t="s">
        <v>1863</v>
      </c>
      <c r="E111" s="33" t="s">
        <v>1864</v>
      </c>
      <c r="F111" s="33" t="s">
        <v>1542</v>
      </c>
      <c r="G111" s="33" t="s">
        <v>1543</v>
      </c>
      <c r="H111" s="34" t="s">
        <v>1865</v>
      </c>
    </row>
    <row r="112" customFormat="false" ht="15" hidden="false" customHeight="true" outlineLevel="0" collapsed="false">
      <c r="A112" s="29" t="s">
        <v>34</v>
      </c>
      <c r="B112" s="30" t="n">
        <v>2023</v>
      </c>
      <c r="C112" s="31" t="s">
        <v>1573</v>
      </c>
      <c r="D112" s="32" t="s">
        <v>1866</v>
      </c>
      <c r="E112" s="33" t="s">
        <v>1867</v>
      </c>
      <c r="F112" s="33" t="s">
        <v>731</v>
      </c>
      <c r="G112" s="33" t="s">
        <v>1543</v>
      </c>
      <c r="H112" s="34" t="s">
        <v>1868</v>
      </c>
    </row>
    <row r="113" customFormat="false" ht="15" hidden="false" customHeight="true" outlineLevel="0" collapsed="false">
      <c r="A113" s="29" t="s">
        <v>34</v>
      </c>
      <c r="B113" s="30" t="n">
        <v>2023</v>
      </c>
      <c r="C113" s="31" t="s">
        <v>1557</v>
      </c>
      <c r="D113" s="32" t="s">
        <v>1869</v>
      </c>
      <c r="E113" s="33" t="s">
        <v>1870</v>
      </c>
      <c r="F113" s="33" t="s">
        <v>731</v>
      </c>
      <c r="G113" s="33" t="s">
        <v>1543</v>
      </c>
      <c r="H113" s="34" t="s">
        <v>1871</v>
      </c>
    </row>
    <row r="114" customFormat="false" ht="15" hidden="false" customHeight="true" outlineLevel="0" collapsed="false">
      <c r="A114" s="29" t="s">
        <v>34</v>
      </c>
      <c r="B114" s="30" t="n">
        <v>2023</v>
      </c>
      <c r="C114" s="31" t="s">
        <v>1557</v>
      </c>
      <c r="D114" s="32" t="s">
        <v>1872</v>
      </c>
      <c r="E114" s="33" t="s">
        <v>1873</v>
      </c>
      <c r="F114" s="33" t="s">
        <v>1542</v>
      </c>
      <c r="G114" s="33" t="s">
        <v>1543</v>
      </c>
      <c r="H114" s="34" t="s">
        <v>1874</v>
      </c>
    </row>
    <row r="115" customFormat="false" ht="15" hidden="false" customHeight="true" outlineLevel="0" collapsed="false">
      <c r="A115" s="29" t="s">
        <v>34</v>
      </c>
      <c r="B115" s="30" t="n">
        <v>2023</v>
      </c>
      <c r="C115" s="31" t="s">
        <v>1581</v>
      </c>
      <c r="D115" s="32" t="s">
        <v>1875</v>
      </c>
      <c r="E115" s="33" t="s">
        <v>1876</v>
      </c>
      <c r="F115" s="33" t="s">
        <v>1542</v>
      </c>
      <c r="G115" s="33" t="s">
        <v>1543</v>
      </c>
      <c r="H115" s="34" t="s">
        <v>1877</v>
      </c>
    </row>
    <row r="116" customFormat="false" ht="15" hidden="false" customHeight="true" outlineLevel="0" collapsed="false">
      <c r="A116" s="29" t="s">
        <v>34</v>
      </c>
      <c r="B116" s="30" t="n">
        <v>2023</v>
      </c>
      <c r="C116" s="31" t="s">
        <v>1581</v>
      </c>
      <c r="D116" s="32" t="s">
        <v>1878</v>
      </c>
      <c r="E116" s="33" t="s">
        <v>1879</v>
      </c>
      <c r="F116" s="33" t="s">
        <v>1542</v>
      </c>
      <c r="G116" s="33" t="s">
        <v>1543</v>
      </c>
      <c r="H116" s="34" t="s">
        <v>1880</v>
      </c>
    </row>
    <row r="117" customFormat="false" ht="15" hidden="false" customHeight="true" outlineLevel="0" collapsed="false">
      <c r="A117" s="29" t="s">
        <v>34</v>
      </c>
      <c r="B117" s="30" t="n">
        <v>2023</v>
      </c>
      <c r="C117" s="31" t="s">
        <v>1581</v>
      </c>
      <c r="D117" s="32" t="s">
        <v>1881</v>
      </c>
      <c r="E117" s="33" t="s">
        <v>1882</v>
      </c>
      <c r="F117" s="33" t="s">
        <v>1542</v>
      </c>
      <c r="G117" s="33" t="s">
        <v>1543</v>
      </c>
      <c r="H117" s="34" t="s">
        <v>1883</v>
      </c>
    </row>
    <row r="118" customFormat="false" ht="15" hidden="false" customHeight="true" outlineLevel="0" collapsed="false">
      <c r="A118" s="29" t="s">
        <v>34</v>
      </c>
      <c r="B118" s="30" t="n">
        <v>2023</v>
      </c>
      <c r="C118" s="31" t="s">
        <v>1581</v>
      </c>
      <c r="D118" s="32" t="s">
        <v>1884</v>
      </c>
      <c r="E118" s="33" t="s">
        <v>1885</v>
      </c>
      <c r="F118" s="33" t="s">
        <v>731</v>
      </c>
      <c r="G118" s="33" t="s">
        <v>1543</v>
      </c>
      <c r="H118" s="34" t="s">
        <v>1886</v>
      </c>
    </row>
    <row r="119" customFormat="false" ht="15" hidden="false" customHeight="true" outlineLevel="0" collapsed="false">
      <c r="A119" s="29" t="s">
        <v>34</v>
      </c>
      <c r="B119" s="30" t="n">
        <v>2023</v>
      </c>
      <c r="C119" s="31" t="s">
        <v>1581</v>
      </c>
      <c r="D119" s="32" t="s">
        <v>1887</v>
      </c>
      <c r="E119" s="33" t="s">
        <v>1888</v>
      </c>
      <c r="F119" s="33" t="s">
        <v>731</v>
      </c>
      <c r="G119" s="33" t="s">
        <v>1543</v>
      </c>
      <c r="H119" s="34" t="s">
        <v>1889</v>
      </c>
    </row>
    <row r="120" customFormat="false" ht="15" hidden="false" customHeight="true" outlineLevel="0" collapsed="false">
      <c r="A120" s="29" t="s">
        <v>34</v>
      </c>
      <c r="B120" s="30" t="n">
        <v>2023</v>
      </c>
      <c r="C120" s="31" t="s">
        <v>1539</v>
      </c>
      <c r="D120" s="32" t="s">
        <v>1890</v>
      </c>
      <c r="E120" s="33" t="s">
        <v>1891</v>
      </c>
      <c r="F120" s="33" t="s">
        <v>731</v>
      </c>
      <c r="G120" s="33" t="s">
        <v>1543</v>
      </c>
      <c r="H120" s="34" t="s">
        <v>1892</v>
      </c>
    </row>
    <row r="121" customFormat="false" ht="15" hidden="false" customHeight="true" outlineLevel="0" collapsed="false">
      <c r="A121" s="29" t="s">
        <v>34</v>
      </c>
      <c r="B121" s="30" t="n">
        <v>2023</v>
      </c>
      <c r="C121" s="31" t="s">
        <v>1539</v>
      </c>
      <c r="D121" s="32" t="s">
        <v>1893</v>
      </c>
      <c r="E121" s="33" t="s">
        <v>1894</v>
      </c>
      <c r="F121" s="33" t="s">
        <v>731</v>
      </c>
      <c r="G121" s="33" t="s">
        <v>1543</v>
      </c>
      <c r="H121" s="34" t="s">
        <v>1895</v>
      </c>
    </row>
    <row r="122" customFormat="false" ht="15" hidden="false" customHeight="true" outlineLevel="0" collapsed="false">
      <c r="A122" s="29" t="s">
        <v>34</v>
      </c>
      <c r="B122" s="30" t="n">
        <v>2023</v>
      </c>
      <c r="C122" s="31" t="s">
        <v>1539</v>
      </c>
      <c r="D122" s="32" t="s">
        <v>1896</v>
      </c>
      <c r="E122" s="33" t="s">
        <v>1897</v>
      </c>
      <c r="F122" s="33" t="s">
        <v>731</v>
      </c>
      <c r="G122" s="33" t="s">
        <v>1543</v>
      </c>
      <c r="H122" s="34" t="s">
        <v>1898</v>
      </c>
    </row>
    <row r="123" customFormat="false" ht="15" hidden="false" customHeight="true" outlineLevel="0" collapsed="false">
      <c r="A123" s="29" t="s">
        <v>34</v>
      </c>
      <c r="B123" s="30" t="n">
        <v>2023</v>
      </c>
      <c r="C123" s="31" t="s">
        <v>1539</v>
      </c>
      <c r="D123" s="32" t="s">
        <v>1899</v>
      </c>
      <c r="E123" s="33" t="s">
        <v>1900</v>
      </c>
      <c r="F123" s="33" t="s">
        <v>1542</v>
      </c>
      <c r="G123" s="33" t="s">
        <v>1543</v>
      </c>
      <c r="H123" s="34" t="s">
        <v>1901</v>
      </c>
    </row>
    <row r="124" customFormat="false" ht="15" hidden="false" customHeight="true" outlineLevel="0" collapsed="false">
      <c r="A124" s="29" t="s">
        <v>34</v>
      </c>
      <c r="B124" s="30" t="n">
        <v>2023</v>
      </c>
      <c r="C124" s="31" t="s">
        <v>1539</v>
      </c>
      <c r="D124" s="32" t="s">
        <v>1902</v>
      </c>
      <c r="E124" s="33" t="s">
        <v>1903</v>
      </c>
      <c r="F124" s="33" t="s">
        <v>1542</v>
      </c>
      <c r="G124" s="33" t="s">
        <v>1543</v>
      </c>
      <c r="H124" s="34" t="s">
        <v>1904</v>
      </c>
    </row>
    <row r="125" customFormat="false" ht="15" hidden="false" customHeight="true" outlineLevel="0" collapsed="false">
      <c r="A125" s="29" t="s">
        <v>34</v>
      </c>
      <c r="B125" s="30" t="n">
        <v>2023</v>
      </c>
      <c r="C125" s="31" t="s">
        <v>1539</v>
      </c>
      <c r="D125" s="32" t="s">
        <v>1905</v>
      </c>
      <c r="E125" s="33" t="s">
        <v>1906</v>
      </c>
      <c r="F125" s="33" t="s">
        <v>731</v>
      </c>
      <c r="G125" s="33" t="s">
        <v>1543</v>
      </c>
      <c r="H125" s="34" t="s">
        <v>1907</v>
      </c>
    </row>
    <row r="126" customFormat="false" ht="15" hidden="false" customHeight="true" outlineLevel="0" collapsed="false">
      <c r="A126" s="29" t="s">
        <v>34</v>
      </c>
      <c r="B126" s="30" t="n">
        <v>2023</v>
      </c>
      <c r="C126" s="31" t="s">
        <v>1539</v>
      </c>
      <c r="D126" s="32" t="s">
        <v>1908</v>
      </c>
      <c r="E126" s="33" t="s">
        <v>1909</v>
      </c>
      <c r="F126" s="33" t="s">
        <v>731</v>
      </c>
      <c r="G126" s="33" t="s">
        <v>1543</v>
      </c>
      <c r="H126" s="34" t="s">
        <v>1910</v>
      </c>
    </row>
    <row r="127" customFormat="false" ht="15" hidden="false" customHeight="true" outlineLevel="0" collapsed="false">
      <c r="A127" s="29" t="s">
        <v>34</v>
      </c>
      <c r="B127" s="30" t="n">
        <v>2024</v>
      </c>
      <c r="C127" s="31" t="s">
        <v>1618</v>
      </c>
      <c r="D127" s="32" t="s">
        <v>1911</v>
      </c>
      <c r="E127" s="33" t="s">
        <v>1912</v>
      </c>
      <c r="F127" s="33" t="s">
        <v>1542</v>
      </c>
      <c r="G127" s="33" t="s">
        <v>1543</v>
      </c>
      <c r="H127" s="34" t="s">
        <v>1913</v>
      </c>
    </row>
    <row r="128" customFormat="false" ht="15" hidden="false" customHeight="true" outlineLevel="0" collapsed="false">
      <c r="A128" s="29" t="s">
        <v>34</v>
      </c>
      <c r="B128" s="30" t="n">
        <v>2024</v>
      </c>
      <c r="C128" s="31" t="s">
        <v>1618</v>
      </c>
      <c r="D128" s="32" t="s">
        <v>1914</v>
      </c>
      <c r="E128" s="33" t="s">
        <v>1915</v>
      </c>
      <c r="F128" s="33" t="s">
        <v>1542</v>
      </c>
      <c r="G128" s="33" t="s">
        <v>1543</v>
      </c>
      <c r="H128" s="34" t="s">
        <v>1916</v>
      </c>
    </row>
    <row r="129" customFormat="false" ht="15" hidden="false" customHeight="true" outlineLevel="0" collapsed="false">
      <c r="A129" s="29" t="s">
        <v>34</v>
      </c>
      <c r="B129" s="30" t="n">
        <v>2024</v>
      </c>
      <c r="C129" s="31" t="s">
        <v>1618</v>
      </c>
      <c r="D129" s="32" t="s">
        <v>1917</v>
      </c>
      <c r="E129" s="33" t="s">
        <v>1918</v>
      </c>
      <c r="F129" s="33" t="s">
        <v>1542</v>
      </c>
      <c r="G129" s="33" t="s">
        <v>1543</v>
      </c>
      <c r="H129" s="34" t="s">
        <v>1919</v>
      </c>
    </row>
    <row r="130" customFormat="false" ht="15" hidden="false" customHeight="true" outlineLevel="0" collapsed="false">
      <c r="A130" s="29" t="s">
        <v>34</v>
      </c>
      <c r="B130" s="30" t="n">
        <v>2024</v>
      </c>
      <c r="C130" s="31" t="s">
        <v>1618</v>
      </c>
      <c r="D130" s="32" t="s">
        <v>1920</v>
      </c>
      <c r="E130" s="33" t="s">
        <v>1921</v>
      </c>
      <c r="F130" s="33" t="s">
        <v>416</v>
      </c>
      <c r="G130" s="33" t="s">
        <v>1543</v>
      </c>
      <c r="H130" s="34" t="s">
        <v>1922</v>
      </c>
    </row>
    <row r="131" customFormat="false" ht="15" hidden="false" customHeight="true" outlineLevel="0" collapsed="false">
      <c r="A131" s="29" t="s">
        <v>34</v>
      </c>
      <c r="B131" s="30" t="n">
        <v>2024</v>
      </c>
      <c r="C131" s="31" t="s">
        <v>1629</v>
      </c>
      <c r="D131" s="32" t="s">
        <v>1923</v>
      </c>
      <c r="E131" s="33" t="s">
        <v>1924</v>
      </c>
      <c r="F131" s="33" t="s">
        <v>1542</v>
      </c>
      <c r="G131" s="33" t="s">
        <v>1543</v>
      </c>
      <c r="H131" s="34" t="s">
        <v>1925</v>
      </c>
    </row>
    <row r="132" customFormat="false" ht="15" hidden="false" customHeight="true" outlineLevel="0" collapsed="false">
      <c r="A132" s="29" t="s">
        <v>34</v>
      </c>
      <c r="B132" s="30" t="n">
        <v>2024</v>
      </c>
      <c r="C132" s="31" t="s">
        <v>1629</v>
      </c>
      <c r="D132" s="32" t="s">
        <v>1926</v>
      </c>
      <c r="E132" s="33" t="s">
        <v>1927</v>
      </c>
      <c r="F132" s="33" t="s">
        <v>416</v>
      </c>
      <c r="G132" s="33" t="s">
        <v>1543</v>
      </c>
      <c r="H132" s="34" t="s">
        <v>1928</v>
      </c>
    </row>
    <row r="133" customFormat="false" ht="15" hidden="false" customHeight="true" outlineLevel="0" collapsed="false">
      <c r="A133" s="29" t="s">
        <v>34</v>
      </c>
      <c r="B133" s="30" t="n">
        <v>2024</v>
      </c>
      <c r="C133" s="31" t="s">
        <v>1629</v>
      </c>
      <c r="D133" s="32" t="s">
        <v>1929</v>
      </c>
      <c r="E133" s="33" t="s">
        <v>1930</v>
      </c>
      <c r="F133" s="33" t="s">
        <v>731</v>
      </c>
      <c r="G133" s="33" t="s">
        <v>1543</v>
      </c>
      <c r="H133" s="34" t="s">
        <v>1931</v>
      </c>
    </row>
    <row r="134" customFormat="false" ht="15" hidden="false" customHeight="true" outlineLevel="0" collapsed="false">
      <c r="A134" s="29" t="s">
        <v>34</v>
      </c>
      <c r="B134" s="30" t="n">
        <v>2024</v>
      </c>
      <c r="C134" s="31" t="s">
        <v>1629</v>
      </c>
      <c r="D134" s="32" t="s">
        <v>1932</v>
      </c>
      <c r="E134" s="33" t="s">
        <v>1933</v>
      </c>
      <c r="F134" s="33" t="s">
        <v>1542</v>
      </c>
      <c r="G134" s="33" t="s">
        <v>1543</v>
      </c>
      <c r="H134" s="34" t="s">
        <v>1934</v>
      </c>
    </row>
    <row r="135" customFormat="false" ht="15" hidden="false" customHeight="true" outlineLevel="0" collapsed="false">
      <c r="A135" s="29" t="s">
        <v>34</v>
      </c>
      <c r="B135" s="30" t="n">
        <v>2024</v>
      </c>
      <c r="C135" s="31" t="s">
        <v>1629</v>
      </c>
      <c r="D135" s="32" t="s">
        <v>1935</v>
      </c>
      <c r="E135" s="33" t="s">
        <v>1936</v>
      </c>
      <c r="F135" s="33" t="s">
        <v>1542</v>
      </c>
      <c r="G135" s="33" t="s">
        <v>1543</v>
      </c>
      <c r="H135" s="34" t="s">
        <v>1937</v>
      </c>
    </row>
    <row r="136" customFormat="false" ht="15" hidden="false" customHeight="true" outlineLevel="0" collapsed="false">
      <c r="A136" s="29" t="s">
        <v>34</v>
      </c>
      <c r="B136" s="30" t="n">
        <v>2024</v>
      </c>
      <c r="C136" s="31" t="s">
        <v>1629</v>
      </c>
      <c r="D136" s="32" t="s">
        <v>1938</v>
      </c>
      <c r="E136" s="33" t="s">
        <v>1939</v>
      </c>
      <c r="F136" s="33" t="s">
        <v>1542</v>
      </c>
      <c r="G136" s="33" t="s">
        <v>1543</v>
      </c>
      <c r="H136" s="34" t="s">
        <v>1940</v>
      </c>
    </row>
    <row r="137" customFormat="false" ht="15" hidden="false" customHeight="true" outlineLevel="0" collapsed="false">
      <c r="A137" s="29" t="s">
        <v>34</v>
      </c>
      <c r="B137" s="30" t="n">
        <v>2024</v>
      </c>
      <c r="C137" s="31" t="s">
        <v>1636</v>
      </c>
      <c r="D137" s="32" t="s">
        <v>1941</v>
      </c>
      <c r="E137" s="33" t="s">
        <v>1942</v>
      </c>
      <c r="F137" s="33" t="s">
        <v>1542</v>
      </c>
      <c r="G137" s="33" t="s">
        <v>1543</v>
      </c>
      <c r="H137" s="34" t="s">
        <v>1943</v>
      </c>
    </row>
    <row r="138" customFormat="false" ht="15" hidden="false" customHeight="true" outlineLevel="0" collapsed="false">
      <c r="A138" s="29" t="s">
        <v>34</v>
      </c>
      <c r="B138" s="30" t="n">
        <v>2024</v>
      </c>
      <c r="C138" s="31" t="s">
        <v>1636</v>
      </c>
      <c r="D138" s="32" t="s">
        <v>1944</v>
      </c>
      <c r="E138" s="33" t="s">
        <v>1945</v>
      </c>
      <c r="F138" s="33" t="s">
        <v>731</v>
      </c>
      <c r="G138" s="33" t="s">
        <v>1543</v>
      </c>
      <c r="H138" s="34" t="s">
        <v>1946</v>
      </c>
    </row>
    <row r="139" customFormat="false" ht="15" hidden="false" customHeight="true" outlineLevel="0" collapsed="false">
      <c r="A139" s="29" t="s">
        <v>34</v>
      </c>
      <c r="B139" s="30" t="n">
        <v>2024</v>
      </c>
      <c r="C139" s="31" t="s">
        <v>1636</v>
      </c>
      <c r="D139" s="32" t="s">
        <v>1947</v>
      </c>
      <c r="E139" s="33" t="s">
        <v>1948</v>
      </c>
      <c r="F139" s="33" t="s">
        <v>416</v>
      </c>
      <c r="G139" s="33" t="s">
        <v>1543</v>
      </c>
      <c r="H139" s="34" t="s">
        <v>1949</v>
      </c>
    </row>
    <row r="140" customFormat="false" ht="15" hidden="false" customHeight="true" outlineLevel="0" collapsed="false">
      <c r="A140" s="29" t="s">
        <v>34</v>
      </c>
      <c r="B140" s="30" t="n">
        <v>2024</v>
      </c>
      <c r="C140" s="31" t="s">
        <v>1636</v>
      </c>
      <c r="D140" s="32" t="s">
        <v>1950</v>
      </c>
      <c r="E140" s="33" t="s">
        <v>1951</v>
      </c>
      <c r="F140" s="33" t="s">
        <v>731</v>
      </c>
      <c r="G140" s="33" t="s">
        <v>1543</v>
      </c>
      <c r="H140" s="34" t="s">
        <v>1952</v>
      </c>
    </row>
    <row r="141" customFormat="false" ht="15" hidden="false" customHeight="true" outlineLevel="0" collapsed="false">
      <c r="A141" s="29" t="s">
        <v>34</v>
      </c>
      <c r="B141" s="30" t="n">
        <v>2024</v>
      </c>
      <c r="C141" s="31" t="s">
        <v>1636</v>
      </c>
      <c r="D141" s="32" t="s">
        <v>1953</v>
      </c>
      <c r="E141" s="33" t="s">
        <v>1954</v>
      </c>
      <c r="F141" s="33" t="s">
        <v>1542</v>
      </c>
      <c r="G141" s="33" t="s">
        <v>1543</v>
      </c>
      <c r="H141" s="34" t="s">
        <v>1955</v>
      </c>
    </row>
    <row r="142" customFormat="false" ht="15" hidden="false" customHeight="true" outlineLevel="0" collapsed="false">
      <c r="A142" s="29" t="s">
        <v>34</v>
      </c>
      <c r="B142" s="30" t="n">
        <v>2024</v>
      </c>
      <c r="C142" s="31" t="s">
        <v>1636</v>
      </c>
      <c r="D142" s="32" t="s">
        <v>1956</v>
      </c>
      <c r="E142" s="33" t="s">
        <v>1957</v>
      </c>
      <c r="F142" s="33" t="s">
        <v>731</v>
      </c>
      <c r="G142" s="33" t="s">
        <v>1543</v>
      </c>
      <c r="H142" s="34" t="s">
        <v>1958</v>
      </c>
    </row>
    <row r="143" customFormat="false" ht="15" hidden="false" customHeight="true" outlineLevel="0" collapsed="false">
      <c r="A143" s="29" t="s">
        <v>34</v>
      </c>
      <c r="B143" s="30" t="n">
        <v>2024</v>
      </c>
      <c r="C143" s="31" t="s">
        <v>1636</v>
      </c>
      <c r="D143" s="32" t="s">
        <v>1959</v>
      </c>
      <c r="E143" s="33" t="s">
        <v>1960</v>
      </c>
      <c r="F143" s="33" t="s">
        <v>731</v>
      </c>
      <c r="G143" s="33" t="s">
        <v>1543</v>
      </c>
      <c r="H143" s="34" t="s">
        <v>1961</v>
      </c>
    </row>
    <row r="144" customFormat="false" ht="15" hidden="false" customHeight="true" outlineLevel="0" collapsed="false">
      <c r="A144" s="29" t="s">
        <v>34</v>
      </c>
      <c r="B144" s="30" t="n">
        <v>2024</v>
      </c>
      <c r="C144" s="31" t="s">
        <v>1550</v>
      </c>
      <c r="D144" s="32" t="s">
        <v>1962</v>
      </c>
      <c r="E144" s="33" t="s">
        <v>1963</v>
      </c>
      <c r="F144" s="33" t="s">
        <v>1542</v>
      </c>
      <c r="G144" s="33" t="s">
        <v>1543</v>
      </c>
      <c r="H144" s="34" t="s">
        <v>1964</v>
      </c>
    </row>
    <row r="145" customFormat="false" ht="15" hidden="false" customHeight="true" outlineLevel="0" collapsed="false">
      <c r="A145" s="29" t="s">
        <v>34</v>
      </c>
      <c r="B145" s="30" t="n">
        <v>2024</v>
      </c>
      <c r="C145" s="31" t="s">
        <v>1550</v>
      </c>
      <c r="D145" s="32" t="s">
        <v>1965</v>
      </c>
      <c r="E145" s="33" t="s">
        <v>1966</v>
      </c>
      <c r="F145" s="33" t="s">
        <v>1542</v>
      </c>
      <c r="G145" s="33" t="s">
        <v>1543</v>
      </c>
      <c r="H145" s="34" t="s">
        <v>1967</v>
      </c>
    </row>
    <row r="146" customFormat="false" ht="15" hidden="false" customHeight="true" outlineLevel="0" collapsed="false">
      <c r="A146" s="29" t="s">
        <v>34</v>
      </c>
      <c r="B146" s="30" t="n">
        <v>2024</v>
      </c>
      <c r="C146" s="31" t="s">
        <v>1550</v>
      </c>
      <c r="D146" s="32" t="s">
        <v>1968</v>
      </c>
      <c r="E146" s="33" t="s">
        <v>1969</v>
      </c>
      <c r="F146" s="33" t="s">
        <v>1542</v>
      </c>
      <c r="G146" s="33" t="s">
        <v>1543</v>
      </c>
      <c r="H146" s="34" t="s">
        <v>1970</v>
      </c>
    </row>
    <row r="147" customFormat="false" ht="15" hidden="false" customHeight="true" outlineLevel="0" collapsed="false">
      <c r="A147" s="29" t="s">
        <v>34</v>
      </c>
      <c r="B147" s="30" t="n">
        <v>2024</v>
      </c>
      <c r="C147" s="31" t="s">
        <v>1550</v>
      </c>
      <c r="D147" s="32" t="s">
        <v>1971</v>
      </c>
      <c r="E147" s="33" t="s">
        <v>1972</v>
      </c>
      <c r="F147" s="33" t="s">
        <v>1542</v>
      </c>
      <c r="G147" s="33" t="s">
        <v>1543</v>
      </c>
      <c r="H147" s="34" t="s">
        <v>1973</v>
      </c>
    </row>
    <row r="148" customFormat="false" ht="15" hidden="false" customHeight="true" outlineLevel="0" collapsed="false">
      <c r="A148" s="29" t="s">
        <v>34</v>
      </c>
      <c r="B148" s="30" t="n">
        <v>2024</v>
      </c>
      <c r="C148" s="31" t="s">
        <v>1550</v>
      </c>
      <c r="D148" s="32" t="s">
        <v>1974</v>
      </c>
      <c r="E148" s="33" t="s">
        <v>1975</v>
      </c>
      <c r="F148" s="33" t="s">
        <v>1542</v>
      </c>
      <c r="G148" s="33" t="s">
        <v>1543</v>
      </c>
      <c r="H148" s="34" t="s">
        <v>1976</v>
      </c>
    </row>
    <row r="149" customFormat="false" ht="15" hidden="false" customHeight="true" outlineLevel="0" collapsed="false">
      <c r="A149" s="29" t="s">
        <v>34</v>
      </c>
      <c r="B149" s="30" t="n">
        <v>2024</v>
      </c>
      <c r="C149" s="31" t="s">
        <v>1550</v>
      </c>
      <c r="D149" s="32" t="s">
        <v>1977</v>
      </c>
      <c r="E149" s="33" t="s">
        <v>1978</v>
      </c>
      <c r="F149" s="33" t="s">
        <v>1542</v>
      </c>
      <c r="G149" s="33" t="s">
        <v>1543</v>
      </c>
      <c r="H149" s="34" t="s">
        <v>1979</v>
      </c>
    </row>
    <row r="150" customFormat="false" ht="15" hidden="false" customHeight="true" outlineLevel="0" collapsed="false">
      <c r="A150" s="29" t="s">
        <v>34</v>
      </c>
      <c r="B150" s="30" t="n">
        <v>2024</v>
      </c>
      <c r="C150" s="31" t="s">
        <v>1539</v>
      </c>
      <c r="D150" s="32" t="s">
        <v>1980</v>
      </c>
      <c r="E150" s="33" t="s">
        <v>1981</v>
      </c>
      <c r="F150" s="33" t="s">
        <v>731</v>
      </c>
      <c r="G150" s="33" t="s">
        <v>1543</v>
      </c>
      <c r="H150" s="34" t="s">
        <v>1982</v>
      </c>
    </row>
    <row r="151" customFormat="false" ht="15" hidden="false" customHeight="true" outlineLevel="0" collapsed="false">
      <c r="A151" s="29" t="s">
        <v>34</v>
      </c>
      <c r="B151" s="30" t="n">
        <v>2024</v>
      </c>
      <c r="C151" s="31" t="s">
        <v>1539</v>
      </c>
      <c r="D151" s="32" t="s">
        <v>1983</v>
      </c>
      <c r="E151" s="33" t="s">
        <v>1984</v>
      </c>
      <c r="F151" s="33" t="s">
        <v>1542</v>
      </c>
      <c r="G151" s="33" t="s">
        <v>1543</v>
      </c>
      <c r="H151" s="34" t="s">
        <v>1985</v>
      </c>
    </row>
    <row r="152" customFormat="false" ht="15" hidden="false" customHeight="true" outlineLevel="0" collapsed="false">
      <c r="A152" s="29" t="s">
        <v>34</v>
      </c>
      <c r="B152" s="30" t="n">
        <v>2024</v>
      </c>
      <c r="C152" s="31" t="s">
        <v>1539</v>
      </c>
      <c r="D152" s="32" t="s">
        <v>1986</v>
      </c>
      <c r="E152" s="33" t="s">
        <v>1987</v>
      </c>
      <c r="F152" s="33" t="s">
        <v>1542</v>
      </c>
      <c r="G152" s="33" t="s">
        <v>1543</v>
      </c>
      <c r="H152" s="34" t="s">
        <v>1988</v>
      </c>
    </row>
    <row r="153" customFormat="false" ht="15" hidden="false" customHeight="true" outlineLevel="0" collapsed="false">
      <c r="A153" s="29" t="s">
        <v>34</v>
      </c>
      <c r="B153" s="30" t="n">
        <v>2025</v>
      </c>
      <c r="C153" s="31" t="s">
        <v>1629</v>
      </c>
      <c r="D153" s="32" t="s">
        <v>1989</v>
      </c>
      <c r="E153" s="33" t="s">
        <v>1990</v>
      </c>
      <c r="F153" s="33" t="s">
        <v>1542</v>
      </c>
      <c r="G153" s="33" t="s">
        <v>1543</v>
      </c>
      <c r="H153" s="34" t="s">
        <v>1991</v>
      </c>
    </row>
    <row r="154" customFormat="false" ht="15" hidden="false" customHeight="true" outlineLevel="0" collapsed="false">
      <c r="A154" s="29" t="s">
        <v>34</v>
      </c>
      <c r="B154" s="30" t="n">
        <v>2025</v>
      </c>
      <c r="C154" s="31" t="s">
        <v>1629</v>
      </c>
      <c r="D154" s="32" t="s">
        <v>1989</v>
      </c>
      <c r="E154" s="33" t="s">
        <v>1992</v>
      </c>
      <c r="F154" s="33" t="s">
        <v>1542</v>
      </c>
      <c r="G154" s="33" t="s">
        <v>1543</v>
      </c>
      <c r="H154" s="34" t="s">
        <v>1993</v>
      </c>
    </row>
    <row r="155" customFormat="false" ht="15" hidden="false" customHeight="true" outlineLevel="0" collapsed="false">
      <c r="A155" s="29" t="s">
        <v>34</v>
      </c>
      <c r="B155" s="30" t="n">
        <v>2025</v>
      </c>
      <c r="C155" s="31" t="s">
        <v>1629</v>
      </c>
      <c r="D155" s="32" t="s">
        <v>1994</v>
      </c>
      <c r="E155" s="33" t="s">
        <v>1995</v>
      </c>
      <c r="F155" s="33" t="s">
        <v>1542</v>
      </c>
      <c r="G155" s="33" t="s">
        <v>1543</v>
      </c>
      <c r="H155" s="34" t="s">
        <v>1996</v>
      </c>
    </row>
    <row r="156" customFormat="false" ht="15" hidden="false" customHeight="true" outlineLevel="0" collapsed="false">
      <c r="A156" s="29" t="s">
        <v>34</v>
      </c>
      <c r="B156" s="30" t="n">
        <v>2025</v>
      </c>
      <c r="C156" s="31" t="s">
        <v>1629</v>
      </c>
      <c r="D156" s="32" t="s">
        <v>1989</v>
      </c>
      <c r="E156" s="33" t="s">
        <v>1997</v>
      </c>
      <c r="F156" s="33" t="s">
        <v>1542</v>
      </c>
      <c r="G156" s="33" t="s">
        <v>1543</v>
      </c>
      <c r="H156" s="34" t="s">
        <v>1998</v>
      </c>
    </row>
    <row r="157" customFormat="false" ht="15" hidden="false" customHeight="true" outlineLevel="0" collapsed="false">
      <c r="A157" s="29" t="s">
        <v>34</v>
      </c>
      <c r="B157" s="30" t="n">
        <v>2025</v>
      </c>
      <c r="C157" s="31" t="s">
        <v>1629</v>
      </c>
      <c r="D157" s="32" t="s">
        <v>1989</v>
      </c>
      <c r="E157" s="33" t="s">
        <v>1999</v>
      </c>
      <c r="F157" s="33" t="s">
        <v>1542</v>
      </c>
      <c r="G157" s="33" t="s">
        <v>1543</v>
      </c>
      <c r="H157" s="34" t="s">
        <v>2000</v>
      </c>
    </row>
    <row r="158" customFormat="false" ht="15" hidden="false" customHeight="true" outlineLevel="0" collapsed="false">
      <c r="A158" s="29" t="s">
        <v>34</v>
      </c>
      <c r="B158" s="30" t="n">
        <v>2025</v>
      </c>
      <c r="C158" s="31" t="s">
        <v>1629</v>
      </c>
      <c r="D158" s="32" t="s">
        <v>2001</v>
      </c>
      <c r="E158" s="33" t="s">
        <v>2002</v>
      </c>
      <c r="F158" s="33" t="s">
        <v>1542</v>
      </c>
      <c r="G158" s="33" t="s">
        <v>1543</v>
      </c>
      <c r="H158" s="34" t="s">
        <v>2003</v>
      </c>
    </row>
    <row r="159" customFormat="false" ht="15" hidden="false" customHeight="true" outlineLevel="0" collapsed="false">
      <c r="A159" s="29" t="s">
        <v>34</v>
      </c>
      <c r="B159" s="30" t="n">
        <v>2025</v>
      </c>
      <c r="C159" s="31" t="s">
        <v>1629</v>
      </c>
      <c r="D159" s="32" t="s">
        <v>1994</v>
      </c>
      <c r="E159" s="33" t="s">
        <v>2004</v>
      </c>
      <c r="F159" s="33" t="s">
        <v>731</v>
      </c>
      <c r="G159" s="33" t="s">
        <v>1543</v>
      </c>
      <c r="H159" s="34" t="s">
        <v>2005</v>
      </c>
    </row>
    <row r="160" customFormat="false" ht="15" hidden="false" customHeight="true" outlineLevel="0" collapsed="false">
      <c r="A160" s="29" t="s">
        <v>34</v>
      </c>
      <c r="B160" s="30" t="n">
        <v>2025</v>
      </c>
      <c r="C160" s="31" t="s">
        <v>1636</v>
      </c>
      <c r="D160" s="32" t="s">
        <v>2006</v>
      </c>
      <c r="E160" s="33" t="s">
        <v>2007</v>
      </c>
      <c r="F160" s="33" t="s">
        <v>731</v>
      </c>
      <c r="G160" s="33" t="s">
        <v>1543</v>
      </c>
      <c r="H160" s="34" t="s">
        <v>2008</v>
      </c>
    </row>
    <row r="161" customFormat="false" ht="21.75" hidden="false" customHeight="true" outlineLevel="0" collapsed="false">
      <c r="A161" s="29" t="s">
        <v>34</v>
      </c>
      <c r="B161" s="30" t="n">
        <v>2025</v>
      </c>
      <c r="C161" s="31" t="s">
        <v>1636</v>
      </c>
      <c r="D161" s="32" t="s">
        <v>2009</v>
      </c>
      <c r="E161" s="33" t="s">
        <v>2010</v>
      </c>
      <c r="F161" s="33" t="s">
        <v>1542</v>
      </c>
      <c r="G161" s="33" t="s">
        <v>1543</v>
      </c>
      <c r="H161" s="34" t="s">
        <v>2011</v>
      </c>
    </row>
    <row r="162" customFormat="false" ht="15" hidden="false" customHeight="true" outlineLevel="0" collapsed="false">
      <c r="A162" s="29" t="s">
        <v>34</v>
      </c>
      <c r="B162" s="30" t="n">
        <v>2025</v>
      </c>
      <c r="C162" s="31" t="s">
        <v>1636</v>
      </c>
      <c r="D162" s="32" t="s">
        <v>2012</v>
      </c>
      <c r="E162" s="33" t="s">
        <v>2013</v>
      </c>
      <c r="F162" s="33" t="s">
        <v>2014</v>
      </c>
      <c r="G162" s="33" t="s">
        <v>1543</v>
      </c>
      <c r="H162" s="34" t="s">
        <v>2015</v>
      </c>
    </row>
    <row r="163" customFormat="false" ht="15" hidden="false" customHeight="true" outlineLevel="0" collapsed="false">
      <c r="A163" s="29" t="s">
        <v>34</v>
      </c>
      <c r="B163" s="30" t="n">
        <v>2025</v>
      </c>
      <c r="C163" s="31" t="s">
        <v>1636</v>
      </c>
      <c r="D163" s="32" t="s">
        <v>2016</v>
      </c>
      <c r="E163" s="33" t="s">
        <v>2017</v>
      </c>
      <c r="F163" s="33" t="s">
        <v>731</v>
      </c>
      <c r="G163" s="33" t="s">
        <v>1543</v>
      </c>
      <c r="H163" s="34" t="s">
        <v>2018</v>
      </c>
    </row>
    <row r="164" customFormat="false" ht="15" hidden="false" customHeight="true" outlineLevel="0" collapsed="false">
      <c r="A164" s="29" t="s">
        <v>34</v>
      </c>
      <c r="B164" s="30" t="n">
        <v>2025</v>
      </c>
      <c r="C164" s="31" t="s">
        <v>1636</v>
      </c>
      <c r="D164" s="32" t="s">
        <v>2019</v>
      </c>
      <c r="E164" s="33" t="s">
        <v>2020</v>
      </c>
      <c r="F164" s="33" t="s">
        <v>1542</v>
      </c>
      <c r="G164" s="33" t="s">
        <v>1543</v>
      </c>
      <c r="H164" s="34" t="s">
        <v>2021</v>
      </c>
    </row>
    <row r="165" customFormat="false" ht="15" hidden="false" customHeight="true" outlineLevel="0" collapsed="false">
      <c r="A165" s="29" t="s">
        <v>34</v>
      </c>
      <c r="B165" s="30" t="n">
        <v>2025</v>
      </c>
      <c r="C165" s="31" t="s">
        <v>1636</v>
      </c>
      <c r="D165" s="32" t="s">
        <v>2019</v>
      </c>
      <c r="E165" s="33" t="s">
        <v>2022</v>
      </c>
      <c r="F165" s="33" t="s">
        <v>416</v>
      </c>
      <c r="G165" s="33" t="s">
        <v>1543</v>
      </c>
      <c r="H165" s="34" t="s">
        <v>2023</v>
      </c>
    </row>
    <row r="166" customFormat="false" ht="15" hidden="false" customHeight="true" outlineLevel="0" collapsed="false">
      <c r="A166" s="29" t="s">
        <v>34</v>
      </c>
      <c r="B166" s="30" t="n">
        <v>2025</v>
      </c>
      <c r="C166" s="31" t="s">
        <v>1636</v>
      </c>
      <c r="D166" s="32" t="s">
        <v>2024</v>
      </c>
      <c r="E166" s="33" t="s">
        <v>2025</v>
      </c>
      <c r="F166" s="33" t="s">
        <v>1542</v>
      </c>
      <c r="G166" s="33" t="s">
        <v>1543</v>
      </c>
      <c r="H166" s="34" t="s">
        <v>2026</v>
      </c>
    </row>
    <row r="167" customFormat="false" ht="15" hidden="false" customHeight="true" outlineLevel="0" collapsed="false">
      <c r="A167" s="29" t="s">
        <v>34</v>
      </c>
      <c r="B167" s="30" t="n">
        <v>2025</v>
      </c>
      <c r="C167" s="31" t="s">
        <v>1636</v>
      </c>
      <c r="D167" s="32" t="s">
        <v>2027</v>
      </c>
      <c r="E167" s="33" t="s">
        <v>2028</v>
      </c>
      <c r="F167" s="33" t="s">
        <v>1542</v>
      </c>
      <c r="G167" s="33" t="s">
        <v>1543</v>
      </c>
      <c r="H167" s="34" t="s">
        <v>2029</v>
      </c>
    </row>
    <row r="168" customFormat="false" ht="15" hidden="false" customHeight="true" outlineLevel="0" collapsed="false">
      <c r="A168" s="29" t="s">
        <v>34</v>
      </c>
      <c r="B168" s="30" t="n">
        <v>2025</v>
      </c>
      <c r="C168" s="31" t="s">
        <v>1636</v>
      </c>
      <c r="D168" s="32" t="s">
        <v>2006</v>
      </c>
      <c r="E168" s="33" t="s">
        <v>2030</v>
      </c>
      <c r="F168" s="33" t="s">
        <v>1542</v>
      </c>
      <c r="G168" s="33" t="s">
        <v>1543</v>
      </c>
      <c r="H168" s="34" t="s">
        <v>2031</v>
      </c>
    </row>
    <row r="169" customFormat="false" ht="15" hidden="false" customHeight="true" outlineLevel="0" collapsed="false">
      <c r="A169" s="29" t="s">
        <v>34</v>
      </c>
      <c r="B169" s="30" t="n">
        <v>2025</v>
      </c>
      <c r="C169" s="31" t="s">
        <v>1550</v>
      </c>
      <c r="D169" s="32" t="s">
        <v>2032</v>
      </c>
      <c r="E169" s="33" t="s">
        <v>2033</v>
      </c>
      <c r="F169" s="33" t="s">
        <v>731</v>
      </c>
      <c r="G169" s="33" t="s">
        <v>1543</v>
      </c>
      <c r="H169" s="34" t="s">
        <v>2034</v>
      </c>
    </row>
    <row r="170" customFormat="false" ht="15" hidden="false" customHeight="true" outlineLevel="0" collapsed="false">
      <c r="A170" s="29" t="s">
        <v>34</v>
      </c>
      <c r="B170" s="30" t="n">
        <v>2025</v>
      </c>
      <c r="C170" s="31" t="s">
        <v>1550</v>
      </c>
      <c r="D170" s="32" t="s">
        <v>2035</v>
      </c>
      <c r="E170" s="33" t="s">
        <v>2036</v>
      </c>
      <c r="F170" s="33" t="s">
        <v>1542</v>
      </c>
      <c r="G170" s="33" t="s">
        <v>1543</v>
      </c>
      <c r="H170" s="34" t="s">
        <v>2037</v>
      </c>
    </row>
    <row r="171" customFormat="false" ht="15" hidden="false" customHeight="true" outlineLevel="0" collapsed="false">
      <c r="A171" s="29" t="s">
        <v>34</v>
      </c>
      <c r="B171" s="30" t="n">
        <v>2025</v>
      </c>
      <c r="C171" s="31" t="s">
        <v>1550</v>
      </c>
      <c r="D171" s="32" t="s">
        <v>2035</v>
      </c>
      <c r="E171" s="33" t="s">
        <v>2038</v>
      </c>
      <c r="F171" s="33" t="s">
        <v>731</v>
      </c>
      <c r="G171" s="33" t="s">
        <v>1543</v>
      </c>
      <c r="H171" s="34" t="s">
        <v>2039</v>
      </c>
    </row>
    <row r="172" customFormat="false" ht="15" hidden="false" customHeight="true" outlineLevel="0" collapsed="false">
      <c r="A172" s="29" t="s">
        <v>34</v>
      </c>
      <c r="B172" s="30" t="n">
        <v>2025</v>
      </c>
      <c r="C172" s="31" t="s">
        <v>1550</v>
      </c>
      <c r="D172" s="32" t="s">
        <v>2035</v>
      </c>
      <c r="E172" s="33" t="s">
        <v>2040</v>
      </c>
      <c r="F172" s="33" t="s">
        <v>731</v>
      </c>
      <c r="G172" s="33" t="s">
        <v>1543</v>
      </c>
      <c r="H172" s="34" t="s">
        <v>2041</v>
      </c>
    </row>
    <row r="173" customFormat="false" ht="15" hidden="false" customHeight="true" outlineLevel="0" collapsed="false">
      <c r="A173" s="29" t="s">
        <v>34</v>
      </c>
      <c r="B173" s="30" t="n">
        <v>2025</v>
      </c>
      <c r="C173" s="31" t="s">
        <v>1550</v>
      </c>
      <c r="D173" s="32" t="s">
        <v>2035</v>
      </c>
      <c r="E173" s="33" t="s">
        <v>2042</v>
      </c>
      <c r="F173" s="33" t="s">
        <v>731</v>
      </c>
      <c r="G173" s="33" t="s">
        <v>1543</v>
      </c>
      <c r="H173" s="34" t="s">
        <v>2043</v>
      </c>
    </row>
    <row r="174" customFormat="false" ht="15" hidden="false" customHeight="true" outlineLevel="0" collapsed="false">
      <c r="A174" s="29" t="s">
        <v>34</v>
      </c>
      <c r="B174" s="30" t="n">
        <v>2025</v>
      </c>
      <c r="C174" s="31" t="s">
        <v>1550</v>
      </c>
      <c r="D174" s="32" t="s">
        <v>2035</v>
      </c>
      <c r="E174" s="33" t="s">
        <v>2044</v>
      </c>
      <c r="F174" s="33" t="s">
        <v>1542</v>
      </c>
      <c r="G174" s="33" t="s">
        <v>1543</v>
      </c>
      <c r="H174" s="34" t="s">
        <v>2045</v>
      </c>
    </row>
    <row r="175" customFormat="false" ht="15" hidden="false" customHeight="true" outlineLevel="0" collapsed="false">
      <c r="A175" s="29" t="s">
        <v>34</v>
      </c>
      <c r="B175" s="30" t="n">
        <v>2025</v>
      </c>
      <c r="C175" s="31" t="s">
        <v>1550</v>
      </c>
      <c r="D175" s="32" t="s">
        <v>2046</v>
      </c>
      <c r="E175" s="33" t="s">
        <v>2047</v>
      </c>
      <c r="F175" s="33" t="s">
        <v>1542</v>
      </c>
      <c r="G175" s="33" t="s">
        <v>1543</v>
      </c>
      <c r="H175" s="34" t="s">
        <v>2048</v>
      </c>
    </row>
    <row r="176" customFormat="false" ht="15" hidden="false" customHeight="true" outlineLevel="0" collapsed="false">
      <c r="A176" s="29" t="s">
        <v>34</v>
      </c>
      <c r="B176" s="30" t="n">
        <v>2025</v>
      </c>
      <c r="C176" s="31" t="s">
        <v>1550</v>
      </c>
      <c r="D176" s="32" t="s">
        <v>2049</v>
      </c>
      <c r="E176" s="33" t="s">
        <v>2050</v>
      </c>
      <c r="F176" s="33" t="s">
        <v>1542</v>
      </c>
      <c r="G176" s="33" t="s">
        <v>1543</v>
      </c>
      <c r="H176" s="34" t="s">
        <v>2051</v>
      </c>
    </row>
    <row r="177" customFormat="false" ht="15" hidden="false" customHeight="true" outlineLevel="0" collapsed="false">
      <c r="A177" s="29" t="s">
        <v>34</v>
      </c>
      <c r="B177" s="30" t="n">
        <v>2025</v>
      </c>
      <c r="C177" s="31" t="s">
        <v>1655</v>
      </c>
      <c r="D177" s="32" t="s">
        <v>2052</v>
      </c>
      <c r="E177" s="33" t="s">
        <v>2053</v>
      </c>
      <c r="F177" s="33" t="s">
        <v>1542</v>
      </c>
      <c r="G177" s="33" t="s">
        <v>1543</v>
      </c>
      <c r="H177" s="34" t="s">
        <v>2054</v>
      </c>
    </row>
    <row r="178" customFormat="false" ht="15" hidden="false" customHeight="true" outlineLevel="0" collapsed="false">
      <c r="A178" s="29" t="s">
        <v>34</v>
      </c>
      <c r="B178" s="30" t="n">
        <v>2025</v>
      </c>
      <c r="C178" s="31" t="s">
        <v>1655</v>
      </c>
      <c r="D178" s="32" t="s">
        <v>2055</v>
      </c>
      <c r="E178" s="33" t="s">
        <v>2056</v>
      </c>
      <c r="F178" s="33" t="s">
        <v>731</v>
      </c>
      <c r="G178" s="33" t="s">
        <v>1543</v>
      </c>
      <c r="H178" s="34" t="s">
        <v>2057</v>
      </c>
    </row>
    <row r="179" customFormat="false" ht="15" hidden="false" customHeight="true" outlineLevel="0" collapsed="false">
      <c r="A179" s="29" t="s">
        <v>34</v>
      </c>
      <c r="B179" s="30" t="n">
        <v>2025</v>
      </c>
      <c r="C179" s="31" t="s">
        <v>1655</v>
      </c>
      <c r="D179" s="32" t="s">
        <v>2058</v>
      </c>
      <c r="E179" s="33" t="s">
        <v>2059</v>
      </c>
      <c r="F179" s="33" t="s">
        <v>731</v>
      </c>
      <c r="G179" s="33" t="s">
        <v>1543</v>
      </c>
      <c r="H179" s="34" t="s">
        <v>2060</v>
      </c>
    </row>
    <row r="180" customFormat="false" ht="15" hidden="false" customHeight="true" outlineLevel="0" collapsed="false">
      <c r="A180" s="29" t="s">
        <v>34</v>
      </c>
      <c r="B180" s="30" t="n">
        <v>2025</v>
      </c>
      <c r="C180" s="31" t="s">
        <v>1655</v>
      </c>
      <c r="D180" s="32" t="s">
        <v>2061</v>
      </c>
      <c r="E180" s="33" t="s">
        <v>2062</v>
      </c>
      <c r="F180" s="33" t="s">
        <v>1542</v>
      </c>
      <c r="G180" s="33" t="s">
        <v>1543</v>
      </c>
      <c r="H180" s="34" t="s">
        <v>2063</v>
      </c>
    </row>
    <row r="181" customFormat="false" ht="15" hidden="false" customHeight="true" outlineLevel="0" collapsed="false">
      <c r="A181" s="29" t="s">
        <v>34</v>
      </c>
      <c r="B181" s="30" t="n">
        <v>2025</v>
      </c>
      <c r="C181" s="31" t="s">
        <v>1655</v>
      </c>
      <c r="D181" s="32" t="s">
        <v>2052</v>
      </c>
      <c r="E181" s="33" t="s">
        <v>2064</v>
      </c>
      <c r="F181" s="33" t="s">
        <v>456</v>
      </c>
      <c r="G181" s="33" t="s">
        <v>1543</v>
      </c>
      <c r="H181" s="34" t="s">
        <v>2065</v>
      </c>
    </row>
    <row r="182" customFormat="false" ht="15" hidden="false" customHeight="true" outlineLevel="0" collapsed="false">
      <c r="A182" s="29" t="s">
        <v>34</v>
      </c>
      <c r="B182" s="30" t="n">
        <v>2025</v>
      </c>
      <c r="C182" s="31" t="s">
        <v>1772</v>
      </c>
      <c r="D182" s="32" t="s">
        <v>2066</v>
      </c>
      <c r="E182" s="33" t="s">
        <v>2067</v>
      </c>
      <c r="F182" s="33" t="s">
        <v>416</v>
      </c>
      <c r="G182" s="33" t="s">
        <v>1543</v>
      </c>
      <c r="H182" s="34" t="s">
        <v>2068</v>
      </c>
    </row>
    <row r="183" customFormat="false" ht="15" hidden="false" customHeight="true" outlineLevel="0" collapsed="false">
      <c r="A183" s="29" t="s">
        <v>34</v>
      </c>
      <c r="B183" s="30" t="n">
        <v>2025</v>
      </c>
      <c r="C183" s="31" t="s">
        <v>1772</v>
      </c>
      <c r="D183" s="32" t="s">
        <v>2069</v>
      </c>
      <c r="E183" s="33" t="s">
        <v>2070</v>
      </c>
      <c r="F183" s="33" t="s">
        <v>731</v>
      </c>
      <c r="G183" s="33" t="s">
        <v>1543</v>
      </c>
      <c r="H183" s="34" t="s">
        <v>2071</v>
      </c>
    </row>
    <row r="184" customFormat="false" ht="15" hidden="false" customHeight="true" outlineLevel="0" collapsed="false">
      <c r="A184" s="29" t="s">
        <v>34</v>
      </c>
      <c r="B184" s="30" t="n">
        <v>2025</v>
      </c>
      <c r="C184" s="31" t="s">
        <v>1772</v>
      </c>
      <c r="D184" s="32" t="s">
        <v>2072</v>
      </c>
      <c r="E184" s="33" t="s">
        <v>2073</v>
      </c>
      <c r="F184" s="33" t="s">
        <v>1542</v>
      </c>
      <c r="G184" s="33" t="s">
        <v>1543</v>
      </c>
      <c r="H184" s="34" t="s">
        <v>2074</v>
      </c>
    </row>
    <row r="185" customFormat="false" ht="15" hidden="false" customHeight="true" outlineLevel="0" collapsed="false">
      <c r="A185" s="29" t="s">
        <v>34</v>
      </c>
      <c r="B185" s="30" t="n">
        <v>2025</v>
      </c>
      <c r="C185" s="31" t="s">
        <v>1772</v>
      </c>
      <c r="D185" s="32" t="s">
        <v>2075</v>
      </c>
      <c r="E185" s="33" t="s">
        <v>2076</v>
      </c>
      <c r="F185" s="33" t="s">
        <v>416</v>
      </c>
      <c r="G185" s="33" t="s">
        <v>1543</v>
      </c>
      <c r="H185" s="34" t="s">
        <v>1126</v>
      </c>
    </row>
    <row r="186" customFormat="false" ht="15" hidden="false" customHeight="true" outlineLevel="0" collapsed="false">
      <c r="A186" s="29" t="s">
        <v>34</v>
      </c>
      <c r="B186" s="30" t="n">
        <v>2025</v>
      </c>
      <c r="C186" s="31" t="s">
        <v>1772</v>
      </c>
      <c r="D186" s="32" t="s">
        <v>2077</v>
      </c>
      <c r="E186" s="33" t="s">
        <v>2078</v>
      </c>
      <c r="F186" s="33" t="s">
        <v>1542</v>
      </c>
      <c r="G186" s="33" t="s">
        <v>1543</v>
      </c>
      <c r="H186" s="34" t="s">
        <v>2079</v>
      </c>
    </row>
    <row r="187" customFormat="false" ht="15" hidden="false" customHeight="true" outlineLevel="0" collapsed="false">
      <c r="A187" s="29" t="s">
        <v>34</v>
      </c>
      <c r="B187" s="30" t="n">
        <v>2025</v>
      </c>
      <c r="C187" s="31" t="s">
        <v>1772</v>
      </c>
      <c r="D187" s="32" t="s">
        <v>2080</v>
      </c>
      <c r="E187" s="33" t="s">
        <v>2081</v>
      </c>
      <c r="F187" s="33" t="s">
        <v>1542</v>
      </c>
      <c r="G187" s="33" t="s">
        <v>1543</v>
      </c>
      <c r="H187" s="34" t="s">
        <v>2082</v>
      </c>
    </row>
    <row r="188" customFormat="false" ht="15" hidden="false" customHeight="true" outlineLevel="0" collapsed="false">
      <c r="A188" s="29" t="s">
        <v>34</v>
      </c>
      <c r="B188" s="30" t="n">
        <v>2025</v>
      </c>
      <c r="C188" s="31" t="s">
        <v>1665</v>
      </c>
      <c r="D188" s="32" t="s">
        <v>2083</v>
      </c>
      <c r="E188" s="33" t="s">
        <v>2084</v>
      </c>
      <c r="F188" s="33" t="s">
        <v>1542</v>
      </c>
      <c r="G188" s="33" t="s">
        <v>1543</v>
      </c>
      <c r="H188" s="34" t="s">
        <v>2085</v>
      </c>
    </row>
    <row r="189" customFormat="false" ht="15" hidden="false" customHeight="true" outlineLevel="0" collapsed="false">
      <c r="A189" s="29" t="s">
        <v>34</v>
      </c>
      <c r="B189" s="30" t="n">
        <v>2025</v>
      </c>
      <c r="C189" s="31" t="s">
        <v>1665</v>
      </c>
      <c r="D189" s="32" t="s">
        <v>2086</v>
      </c>
      <c r="E189" s="33" t="s">
        <v>2087</v>
      </c>
      <c r="F189" s="33" t="s">
        <v>731</v>
      </c>
      <c r="G189" s="33" t="s">
        <v>1543</v>
      </c>
      <c r="H189" s="34" t="s">
        <v>2088</v>
      </c>
    </row>
    <row r="190" customFormat="false" ht="15" hidden="false" customHeight="true" outlineLevel="0" collapsed="false">
      <c r="A190" s="29" t="s">
        <v>34</v>
      </c>
      <c r="B190" s="30" t="n">
        <v>2025</v>
      </c>
      <c r="C190" s="31" t="s">
        <v>1665</v>
      </c>
      <c r="D190" s="32" t="s">
        <v>2089</v>
      </c>
      <c r="E190" s="33" t="s">
        <v>2090</v>
      </c>
      <c r="F190" s="33" t="s">
        <v>731</v>
      </c>
      <c r="G190" s="33" t="s">
        <v>1543</v>
      </c>
      <c r="H190" s="34" t="s">
        <v>2091</v>
      </c>
    </row>
    <row r="191" customFormat="false" ht="15" hidden="false" customHeight="true" outlineLevel="0" collapsed="false">
      <c r="A191" s="29" t="s">
        <v>34</v>
      </c>
      <c r="B191" s="30" t="n">
        <v>2025</v>
      </c>
      <c r="C191" s="31" t="s">
        <v>1665</v>
      </c>
      <c r="D191" s="32" t="s">
        <v>2092</v>
      </c>
      <c r="E191" s="33" t="s">
        <v>2093</v>
      </c>
      <c r="F191" s="33" t="s">
        <v>1542</v>
      </c>
      <c r="G191" s="33" t="s">
        <v>1543</v>
      </c>
      <c r="H191" s="34" t="s">
        <v>2094</v>
      </c>
    </row>
    <row r="192" customFormat="false" ht="15" hidden="false" customHeight="true" outlineLevel="0" collapsed="false">
      <c r="A192" s="29" t="s">
        <v>34</v>
      </c>
      <c r="B192" s="30" t="n">
        <v>2025</v>
      </c>
      <c r="C192" s="31" t="s">
        <v>1665</v>
      </c>
      <c r="D192" s="32" t="s">
        <v>2092</v>
      </c>
      <c r="E192" s="33" t="s">
        <v>2095</v>
      </c>
      <c r="F192" s="33" t="s">
        <v>731</v>
      </c>
      <c r="G192" s="33" t="s">
        <v>1543</v>
      </c>
      <c r="H192" s="34" t="s">
        <v>2096</v>
      </c>
    </row>
    <row r="193" customFormat="false" ht="15" hidden="false" customHeight="true" outlineLevel="0" collapsed="false">
      <c r="A193" s="29" t="s">
        <v>34</v>
      </c>
      <c r="B193" s="30" t="n">
        <v>2025</v>
      </c>
      <c r="C193" s="31" t="s">
        <v>1665</v>
      </c>
      <c r="D193" s="32" t="s">
        <v>2097</v>
      </c>
      <c r="E193" s="33" t="s">
        <v>2098</v>
      </c>
      <c r="F193" s="33" t="s">
        <v>731</v>
      </c>
      <c r="G193" s="33" t="s">
        <v>1543</v>
      </c>
      <c r="H193" s="34" t="s">
        <v>2099</v>
      </c>
    </row>
    <row r="194" customFormat="false" ht="15" hidden="false" customHeight="true" outlineLevel="0" collapsed="false">
      <c r="A194" s="29" t="s">
        <v>34</v>
      </c>
      <c r="B194" s="30" t="n">
        <v>2025</v>
      </c>
      <c r="C194" s="31" t="s">
        <v>1665</v>
      </c>
      <c r="D194" s="32" t="s">
        <v>2100</v>
      </c>
      <c r="E194" s="33" t="s">
        <v>2101</v>
      </c>
      <c r="F194" s="33" t="s">
        <v>1542</v>
      </c>
      <c r="G194" s="33" t="s">
        <v>1543</v>
      </c>
      <c r="H194" s="34" t="s">
        <v>2102</v>
      </c>
    </row>
    <row r="195" customFormat="false" ht="15" hidden="false" customHeight="true" outlineLevel="0" collapsed="false">
      <c r="A195" s="29" t="s">
        <v>34</v>
      </c>
      <c r="B195" s="30" t="n">
        <v>2025</v>
      </c>
      <c r="C195" s="31" t="s">
        <v>1665</v>
      </c>
      <c r="D195" s="32" t="s">
        <v>2103</v>
      </c>
      <c r="E195" s="33" t="s">
        <v>2104</v>
      </c>
      <c r="F195" s="33" t="s">
        <v>1542</v>
      </c>
      <c r="G195" s="33" t="s">
        <v>1543</v>
      </c>
      <c r="H195" s="34" t="s">
        <v>2105</v>
      </c>
    </row>
    <row r="196" customFormat="false" ht="15" hidden="false" customHeight="true" outlineLevel="0" collapsed="false">
      <c r="A196" s="29" t="s">
        <v>34</v>
      </c>
      <c r="B196" s="30" t="n">
        <v>2025</v>
      </c>
      <c r="C196" s="31" t="s">
        <v>1665</v>
      </c>
      <c r="D196" s="32" t="s">
        <v>2106</v>
      </c>
      <c r="E196" s="33" t="s">
        <v>2107</v>
      </c>
      <c r="F196" s="33" t="s">
        <v>1542</v>
      </c>
      <c r="G196" s="33" t="s">
        <v>1543</v>
      </c>
      <c r="H196" s="34" t="s">
        <v>2108</v>
      </c>
    </row>
    <row r="197" customFormat="false" ht="15" hidden="false" customHeight="true" outlineLevel="0" collapsed="false">
      <c r="A197" s="29" t="s">
        <v>34</v>
      </c>
      <c r="B197" s="30" t="n">
        <v>2025</v>
      </c>
      <c r="C197" s="31" t="s">
        <v>1665</v>
      </c>
      <c r="D197" s="32" t="s">
        <v>2109</v>
      </c>
      <c r="E197" s="33" t="s">
        <v>2110</v>
      </c>
      <c r="F197" s="33" t="s">
        <v>1542</v>
      </c>
      <c r="G197" s="33" t="s">
        <v>1543</v>
      </c>
      <c r="H197" s="34" t="s">
        <v>2111</v>
      </c>
    </row>
    <row r="198" customFormat="false" ht="15" hidden="false" customHeight="true" outlineLevel="0" collapsed="false">
      <c r="A198" s="29" t="s">
        <v>34</v>
      </c>
      <c r="B198" s="30" t="n">
        <v>2025</v>
      </c>
      <c r="C198" s="31" t="s">
        <v>1665</v>
      </c>
      <c r="D198" s="32" t="s">
        <v>2092</v>
      </c>
      <c r="E198" s="33" t="s">
        <v>2112</v>
      </c>
      <c r="F198" s="33" t="s">
        <v>1542</v>
      </c>
      <c r="G198" s="33" t="s">
        <v>1543</v>
      </c>
      <c r="H198" s="34" t="s">
        <v>2113</v>
      </c>
    </row>
    <row r="199" customFormat="false" ht="15" hidden="false" customHeight="true" outlineLevel="0" collapsed="false">
      <c r="A199" s="29" t="s">
        <v>34</v>
      </c>
      <c r="B199" s="30" t="n">
        <v>2025</v>
      </c>
      <c r="C199" s="31" t="s">
        <v>1665</v>
      </c>
      <c r="D199" s="32" t="s">
        <v>2114</v>
      </c>
      <c r="E199" s="33" t="s">
        <v>2115</v>
      </c>
      <c r="F199" s="33" t="s">
        <v>1542</v>
      </c>
      <c r="G199" s="33" t="s">
        <v>1543</v>
      </c>
      <c r="H199" s="34" t="s">
        <v>2116</v>
      </c>
    </row>
    <row r="200" customFormat="false" ht="15" hidden="false" customHeight="true" outlineLevel="0" collapsed="false">
      <c r="A200" s="29" t="s">
        <v>34</v>
      </c>
      <c r="B200" s="30" t="n">
        <v>2025</v>
      </c>
      <c r="C200" s="31" t="s">
        <v>1665</v>
      </c>
      <c r="D200" s="32" t="s">
        <v>2114</v>
      </c>
      <c r="E200" s="33" t="s">
        <v>2117</v>
      </c>
      <c r="F200" s="33" t="s">
        <v>1542</v>
      </c>
      <c r="G200" s="33" t="s">
        <v>1543</v>
      </c>
      <c r="H200" s="34" t="s">
        <v>2118</v>
      </c>
    </row>
    <row r="201" customFormat="false" ht="15" hidden="false" customHeight="true" outlineLevel="0" collapsed="false">
      <c r="A201" s="29" t="s">
        <v>34</v>
      </c>
      <c r="B201" s="30" t="n">
        <v>2025</v>
      </c>
      <c r="C201" s="31" t="s">
        <v>1678</v>
      </c>
      <c r="D201" s="32" t="s">
        <v>2119</v>
      </c>
      <c r="E201" s="33" t="s">
        <v>2120</v>
      </c>
      <c r="F201" s="33" t="s">
        <v>1542</v>
      </c>
      <c r="G201" s="33" t="s">
        <v>1543</v>
      </c>
      <c r="H201" s="34" t="s">
        <v>2121</v>
      </c>
    </row>
    <row r="202" customFormat="false" ht="15" hidden="false" customHeight="true" outlineLevel="0" collapsed="false">
      <c r="A202" s="29" t="s">
        <v>34</v>
      </c>
      <c r="B202" s="30" t="n">
        <v>2025</v>
      </c>
      <c r="C202" s="31" t="s">
        <v>1678</v>
      </c>
      <c r="D202" s="32" t="s">
        <v>2122</v>
      </c>
      <c r="E202" s="33" t="s">
        <v>2123</v>
      </c>
      <c r="F202" s="33" t="s">
        <v>731</v>
      </c>
      <c r="G202" s="33" t="s">
        <v>1543</v>
      </c>
      <c r="H202" s="34" t="s">
        <v>2124</v>
      </c>
    </row>
    <row r="203" customFormat="false" ht="15" hidden="false" customHeight="true" outlineLevel="0" collapsed="false">
      <c r="A203" s="29" t="s">
        <v>34</v>
      </c>
      <c r="B203" s="30" t="n">
        <v>2025</v>
      </c>
      <c r="C203" s="31" t="s">
        <v>1678</v>
      </c>
      <c r="D203" s="32" t="s">
        <v>2122</v>
      </c>
      <c r="E203" s="33" t="s">
        <v>2125</v>
      </c>
      <c r="F203" s="33" t="s">
        <v>1542</v>
      </c>
      <c r="G203" s="33" t="s">
        <v>1543</v>
      </c>
      <c r="H203" s="34" t="s">
        <v>2126</v>
      </c>
    </row>
    <row r="204" customFormat="false" ht="15" hidden="false" customHeight="true" outlineLevel="0" collapsed="false">
      <c r="A204" s="29" t="s">
        <v>34</v>
      </c>
      <c r="B204" s="30" t="n">
        <v>2025</v>
      </c>
      <c r="C204" s="31" t="s">
        <v>1678</v>
      </c>
      <c r="D204" s="32" t="s">
        <v>2127</v>
      </c>
      <c r="E204" s="33" t="s">
        <v>2128</v>
      </c>
      <c r="F204" s="33" t="s">
        <v>1542</v>
      </c>
      <c r="G204" s="33" t="s">
        <v>1543</v>
      </c>
      <c r="H204" s="34" t="s">
        <v>2129</v>
      </c>
    </row>
    <row r="205" customFormat="false" ht="15" hidden="false" customHeight="true" outlineLevel="0" collapsed="false">
      <c r="A205" s="29" t="s">
        <v>34</v>
      </c>
      <c r="B205" s="30" t="n">
        <v>2025</v>
      </c>
      <c r="C205" s="31" t="s">
        <v>1678</v>
      </c>
      <c r="D205" s="32" t="s">
        <v>2130</v>
      </c>
      <c r="E205" s="33" t="s">
        <v>2131</v>
      </c>
      <c r="F205" s="33" t="s">
        <v>1027</v>
      </c>
      <c r="G205" s="33" t="s">
        <v>1543</v>
      </c>
      <c r="H205" s="34" t="s">
        <v>2132</v>
      </c>
    </row>
    <row r="206" customFormat="false" ht="15" hidden="false" customHeight="true" outlineLevel="0" collapsed="false">
      <c r="A206" s="29" t="s">
        <v>34</v>
      </c>
      <c r="B206" s="30" t="n">
        <v>2025</v>
      </c>
      <c r="C206" s="31" t="s">
        <v>1678</v>
      </c>
      <c r="D206" s="32" t="s">
        <v>2133</v>
      </c>
      <c r="E206" s="33" t="s">
        <v>2134</v>
      </c>
      <c r="F206" s="33" t="s">
        <v>731</v>
      </c>
      <c r="G206" s="33" t="s">
        <v>1543</v>
      </c>
      <c r="H206" s="34" t="s">
        <v>2135</v>
      </c>
    </row>
    <row r="207" customFormat="false" ht="15" hidden="false" customHeight="true" outlineLevel="0" collapsed="false">
      <c r="A207" s="29" t="s">
        <v>34</v>
      </c>
      <c r="B207" s="30" t="n">
        <v>2025</v>
      </c>
      <c r="C207" s="31" t="s">
        <v>1678</v>
      </c>
      <c r="D207" s="32" t="s">
        <v>2136</v>
      </c>
      <c r="E207" s="33" t="s">
        <v>2137</v>
      </c>
      <c r="F207" s="33" t="s">
        <v>1542</v>
      </c>
      <c r="G207" s="33" t="s">
        <v>1543</v>
      </c>
      <c r="H207" s="34" t="s">
        <v>2138</v>
      </c>
    </row>
    <row r="208" customFormat="false" ht="15" hidden="false" customHeight="true" outlineLevel="0" collapsed="false">
      <c r="A208" s="29" t="s">
        <v>34</v>
      </c>
      <c r="B208" s="30" t="n">
        <v>2025</v>
      </c>
      <c r="C208" s="31" t="s">
        <v>1678</v>
      </c>
      <c r="D208" s="32" t="s">
        <v>2139</v>
      </c>
      <c r="E208" s="33" t="s">
        <v>2140</v>
      </c>
      <c r="F208" s="33" t="s">
        <v>731</v>
      </c>
      <c r="G208" s="33" t="s">
        <v>1543</v>
      </c>
      <c r="H208" s="34" t="s">
        <v>2141</v>
      </c>
    </row>
    <row r="209" customFormat="false" ht="15" hidden="false" customHeight="true" outlineLevel="0" collapsed="false">
      <c r="A209" s="29" t="s">
        <v>34</v>
      </c>
      <c r="B209" s="30" t="n">
        <v>2025</v>
      </c>
      <c r="C209" s="31" t="s">
        <v>1678</v>
      </c>
      <c r="D209" s="32" t="s">
        <v>2142</v>
      </c>
      <c r="E209" s="33" t="s">
        <v>2143</v>
      </c>
      <c r="F209" s="33" t="s">
        <v>1542</v>
      </c>
      <c r="G209" s="33" t="s">
        <v>1543</v>
      </c>
      <c r="H209" s="34" t="s">
        <v>2144</v>
      </c>
    </row>
    <row r="210" customFormat="false" ht="15" hidden="false" customHeight="true" outlineLevel="0" collapsed="false">
      <c r="A210" s="29" t="s">
        <v>34</v>
      </c>
      <c r="B210" s="30" t="n">
        <v>2025</v>
      </c>
      <c r="C210" s="31" t="s">
        <v>1678</v>
      </c>
      <c r="D210" s="32" t="s">
        <v>2145</v>
      </c>
      <c r="E210" s="33" t="s">
        <v>2146</v>
      </c>
      <c r="F210" s="33" t="s">
        <v>1542</v>
      </c>
      <c r="G210" s="33" t="s">
        <v>1543</v>
      </c>
      <c r="H210" s="34" t="s">
        <v>2147</v>
      </c>
    </row>
    <row r="211" customFormat="false" ht="15" hidden="false" customHeight="true" outlineLevel="0" collapsed="false">
      <c r="A211" s="29" t="s">
        <v>34</v>
      </c>
      <c r="B211" s="30" t="n">
        <v>2025</v>
      </c>
      <c r="C211" s="31" t="s">
        <v>1581</v>
      </c>
      <c r="D211" s="32" t="s">
        <v>2148</v>
      </c>
      <c r="E211" s="33" t="s">
        <v>2149</v>
      </c>
      <c r="F211" s="33" t="s">
        <v>1542</v>
      </c>
      <c r="G211" s="33" t="s">
        <v>1543</v>
      </c>
      <c r="H211" s="34" t="s">
        <v>2150</v>
      </c>
    </row>
    <row r="212" customFormat="false" ht="15" hidden="false" customHeight="true" outlineLevel="0" collapsed="false">
      <c r="A212" s="29" t="s">
        <v>34</v>
      </c>
      <c r="B212" s="30" t="n">
        <v>2025</v>
      </c>
      <c r="C212" s="31" t="s">
        <v>1539</v>
      </c>
      <c r="D212" s="32" t="s">
        <v>2151</v>
      </c>
      <c r="E212" s="33" t="s">
        <v>2152</v>
      </c>
      <c r="F212" s="33" t="s">
        <v>731</v>
      </c>
      <c r="G212" s="33" t="s">
        <v>1543</v>
      </c>
      <c r="H212" s="34" t="s">
        <v>2153</v>
      </c>
    </row>
    <row r="213" customFormat="false" ht="15" hidden="false" customHeight="true" outlineLevel="0" collapsed="false">
      <c r="A213" s="29" t="s">
        <v>34</v>
      </c>
      <c r="B213" s="30" t="n">
        <v>2025</v>
      </c>
      <c r="C213" s="31" t="s">
        <v>1539</v>
      </c>
      <c r="D213" s="32" t="s">
        <v>2154</v>
      </c>
      <c r="E213" s="33" t="s">
        <v>2155</v>
      </c>
      <c r="F213" s="33" t="s">
        <v>416</v>
      </c>
      <c r="G213" s="33" t="s">
        <v>1543</v>
      </c>
      <c r="H213" s="34" t="s">
        <v>2156</v>
      </c>
    </row>
    <row r="214" customFormat="false" ht="15" hidden="false" customHeight="true" outlineLevel="0" collapsed="false">
      <c r="A214" s="29" t="s">
        <v>34</v>
      </c>
      <c r="B214" s="30" t="n">
        <v>2026</v>
      </c>
      <c r="C214" s="31" t="s">
        <v>1618</v>
      </c>
      <c r="D214" s="32" t="s">
        <v>2157</v>
      </c>
      <c r="E214" s="33" t="s">
        <v>2158</v>
      </c>
      <c r="F214" s="33" t="s">
        <v>731</v>
      </c>
      <c r="G214" s="33" t="s">
        <v>1543</v>
      </c>
      <c r="H214" s="34" t="s">
        <v>2159</v>
      </c>
    </row>
    <row r="215" customFormat="false" ht="15" hidden="false" customHeight="true" outlineLevel="0" collapsed="false">
      <c r="A215" s="29" t="s">
        <v>34</v>
      </c>
      <c r="B215" s="30" t="n">
        <v>2026</v>
      </c>
      <c r="C215" s="31" t="s">
        <v>1618</v>
      </c>
      <c r="D215" s="32" t="s">
        <v>2160</v>
      </c>
      <c r="E215" s="33" t="s">
        <v>2161</v>
      </c>
      <c r="F215" s="33" t="s">
        <v>731</v>
      </c>
      <c r="G215" s="33" t="s">
        <v>1543</v>
      </c>
      <c r="H215" s="34" t="s">
        <v>2162</v>
      </c>
    </row>
    <row r="216" customFormat="false" ht="15" hidden="false" customHeight="true" outlineLevel="0" collapsed="false">
      <c r="A216" s="29" t="s">
        <v>34</v>
      </c>
      <c r="B216" s="30" t="n">
        <v>2026</v>
      </c>
      <c r="C216" s="31" t="s">
        <v>1618</v>
      </c>
      <c r="D216" s="32" t="s">
        <v>2157</v>
      </c>
      <c r="E216" s="33" t="s">
        <v>2163</v>
      </c>
      <c r="F216" s="33" t="s">
        <v>1542</v>
      </c>
      <c r="G216" s="33" t="s">
        <v>1543</v>
      </c>
      <c r="H216" s="34" t="s">
        <v>2164</v>
      </c>
    </row>
    <row r="217" customFormat="false" ht="15" hidden="false" customHeight="true" outlineLevel="0" collapsed="false">
      <c r="A217" s="29" t="s">
        <v>34</v>
      </c>
      <c r="B217" s="30" t="n">
        <v>2026</v>
      </c>
      <c r="C217" s="31" t="s">
        <v>1636</v>
      </c>
      <c r="D217" s="32" t="s">
        <v>2165</v>
      </c>
      <c r="E217" s="33" t="s">
        <v>2166</v>
      </c>
      <c r="F217" s="33" t="s">
        <v>731</v>
      </c>
      <c r="G217" s="33" t="s">
        <v>1543</v>
      </c>
      <c r="H217" s="34" t="s">
        <v>2167</v>
      </c>
    </row>
    <row r="218" customFormat="false" ht="15" hidden="false" customHeight="true" outlineLevel="0" collapsed="false">
      <c r="A218" s="29" t="s">
        <v>34</v>
      </c>
      <c r="B218" s="30" t="n">
        <v>2026</v>
      </c>
      <c r="C218" s="31" t="s">
        <v>1636</v>
      </c>
      <c r="D218" s="32" t="s">
        <v>2168</v>
      </c>
      <c r="E218" s="33" t="s">
        <v>2169</v>
      </c>
      <c r="F218" s="33" t="s">
        <v>1542</v>
      </c>
      <c r="G218" s="33" t="s">
        <v>1543</v>
      </c>
      <c r="H218" s="34" t="s">
        <v>2170</v>
      </c>
    </row>
    <row r="219" customFormat="false" ht="15" hidden="false" customHeight="true" outlineLevel="0" collapsed="false">
      <c r="A219" s="29" t="s">
        <v>34</v>
      </c>
      <c r="B219" s="30" t="n">
        <v>2026</v>
      </c>
      <c r="C219" s="31" t="s">
        <v>1636</v>
      </c>
      <c r="D219" s="32" t="s">
        <v>2171</v>
      </c>
      <c r="E219" s="33" t="s">
        <v>2172</v>
      </c>
      <c r="F219" s="33" t="s">
        <v>731</v>
      </c>
      <c r="G219" s="33" t="s">
        <v>1543</v>
      </c>
      <c r="H219" s="34" t="s">
        <v>2173</v>
      </c>
    </row>
    <row r="220" customFormat="false" ht="15" hidden="false" customHeight="true" outlineLevel="0" collapsed="false">
      <c r="A220" s="29" t="s">
        <v>34</v>
      </c>
      <c r="B220" s="30" t="n">
        <v>2026</v>
      </c>
      <c r="C220" s="31" t="s">
        <v>1636</v>
      </c>
      <c r="D220" s="32" t="s">
        <v>2174</v>
      </c>
      <c r="E220" s="33" t="s">
        <v>2175</v>
      </c>
      <c r="F220" s="33" t="s">
        <v>731</v>
      </c>
      <c r="G220" s="33" t="s">
        <v>1543</v>
      </c>
      <c r="H220" s="34" t="s">
        <v>2176</v>
      </c>
    </row>
    <row r="221" customFormat="false" ht="15" hidden="false" customHeight="true" outlineLevel="0" collapsed="false">
      <c r="A221" s="29" t="s">
        <v>34</v>
      </c>
      <c r="B221" s="30" t="n">
        <v>2026</v>
      </c>
      <c r="C221" s="31" t="s">
        <v>1636</v>
      </c>
      <c r="D221" s="32" t="s">
        <v>2177</v>
      </c>
      <c r="E221" s="33" t="s">
        <v>2178</v>
      </c>
      <c r="F221" s="33" t="s">
        <v>1542</v>
      </c>
      <c r="G221" s="33" t="s">
        <v>1543</v>
      </c>
      <c r="H221" s="34" t="s">
        <v>2179</v>
      </c>
    </row>
    <row r="222" customFormat="false" ht="15" hidden="false" customHeight="true" outlineLevel="0" collapsed="false">
      <c r="A222" s="29" t="s">
        <v>34</v>
      </c>
      <c r="B222" s="30" t="n">
        <v>2026</v>
      </c>
      <c r="C222" s="31" t="s">
        <v>1636</v>
      </c>
      <c r="D222" s="32" t="s">
        <v>2174</v>
      </c>
      <c r="E222" s="33" t="s">
        <v>2180</v>
      </c>
      <c r="F222" s="33" t="s">
        <v>1542</v>
      </c>
      <c r="G222" s="33" t="s">
        <v>1543</v>
      </c>
      <c r="H222" s="34" t="s">
        <v>2181</v>
      </c>
    </row>
    <row r="223" customFormat="false" ht="15" hidden="false" customHeight="true" outlineLevel="0" collapsed="false">
      <c r="A223" s="29" t="s">
        <v>34</v>
      </c>
      <c r="B223" s="30" t="n">
        <v>2026</v>
      </c>
      <c r="C223" s="31" t="s">
        <v>1636</v>
      </c>
      <c r="D223" s="32" t="s">
        <v>2165</v>
      </c>
      <c r="E223" s="33" t="s">
        <v>2182</v>
      </c>
      <c r="F223" s="33" t="s">
        <v>1542</v>
      </c>
      <c r="G223" s="33" t="s">
        <v>1543</v>
      </c>
      <c r="H223" s="34" t="s">
        <v>2183</v>
      </c>
    </row>
    <row r="224" customFormat="false" ht="15" hidden="false" customHeight="true" outlineLevel="0" collapsed="false">
      <c r="A224" s="29" t="s">
        <v>34</v>
      </c>
      <c r="B224" s="30" t="n">
        <v>2026</v>
      </c>
      <c r="C224" s="31" t="s">
        <v>1550</v>
      </c>
      <c r="D224" s="32" t="s">
        <v>2184</v>
      </c>
      <c r="E224" s="33" t="s">
        <v>2185</v>
      </c>
      <c r="F224" s="33" t="s">
        <v>731</v>
      </c>
      <c r="G224" s="33" t="s">
        <v>1543</v>
      </c>
      <c r="H224" s="34" t="s">
        <v>2186</v>
      </c>
    </row>
    <row r="225" customFormat="false" ht="15" hidden="false" customHeight="true" outlineLevel="0" collapsed="false">
      <c r="A225" s="29" t="s">
        <v>34</v>
      </c>
      <c r="B225" s="30" t="n">
        <v>2026</v>
      </c>
      <c r="C225" s="31" t="s">
        <v>1550</v>
      </c>
      <c r="D225" s="32" t="s">
        <v>2187</v>
      </c>
      <c r="E225" s="33" t="s">
        <v>2188</v>
      </c>
      <c r="F225" s="33" t="s">
        <v>1542</v>
      </c>
      <c r="G225" s="33" t="s">
        <v>1543</v>
      </c>
      <c r="H225" s="34" t="s">
        <v>2189</v>
      </c>
    </row>
    <row r="226" customFormat="false" ht="15" hidden="false" customHeight="true" outlineLevel="0" collapsed="false">
      <c r="A226" s="29" t="s">
        <v>34</v>
      </c>
      <c r="B226" s="30" t="n">
        <v>2026</v>
      </c>
      <c r="C226" s="31" t="s">
        <v>1655</v>
      </c>
      <c r="D226" s="32" t="s">
        <v>2190</v>
      </c>
      <c r="E226" s="33" t="s">
        <v>2191</v>
      </c>
      <c r="F226" s="33" t="s">
        <v>731</v>
      </c>
      <c r="G226" s="33" t="s">
        <v>1543</v>
      </c>
      <c r="H226" s="34" t="s">
        <v>2192</v>
      </c>
    </row>
    <row r="227" customFormat="false" ht="15" hidden="false" customHeight="true" outlineLevel="0" collapsed="false">
      <c r="A227" s="29" t="s">
        <v>34</v>
      </c>
      <c r="B227" s="30" t="n">
        <v>2026</v>
      </c>
      <c r="C227" s="31" t="s">
        <v>1655</v>
      </c>
      <c r="D227" s="32" t="s">
        <v>2193</v>
      </c>
      <c r="E227" s="33" t="s">
        <v>2194</v>
      </c>
      <c r="F227" s="33" t="s">
        <v>731</v>
      </c>
      <c r="G227" s="33" t="s">
        <v>1543</v>
      </c>
      <c r="H227" s="34" t="s">
        <v>2195</v>
      </c>
    </row>
    <row r="228" customFormat="false" ht="15" hidden="false" customHeight="true" outlineLevel="0" collapsed="false">
      <c r="A228" s="29" t="s">
        <v>34</v>
      </c>
      <c r="B228" s="30" t="n">
        <v>2026</v>
      </c>
      <c r="C228" s="31" t="s">
        <v>1772</v>
      </c>
      <c r="D228" s="32" t="s">
        <v>2196</v>
      </c>
      <c r="E228" s="33" t="s">
        <v>2197</v>
      </c>
      <c r="F228" s="33" t="s">
        <v>731</v>
      </c>
      <c r="G228" s="33" t="s">
        <v>1543</v>
      </c>
      <c r="H228" s="34" t="s">
        <v>2198</v>
      </c>
    </row>
    <row r="229" customFormat="false" ht="15" hidden="false" customHeight="true" outlineLevel="0" collapsed="false">
      <c r="A229" s="29" t="s">
        <v>34</v>
      </c>
      <c r="B229" s="30" t="n">
        <v>2026</v>
      </c>
      <c r="C229" s="31" t="s">
        <v>1772</v>
      </c>
      <c r="D229" s="32" t="s">
        <v>2199</v>
      </c>
      <c r="E229" s="33" t="s">
        <v>2200</v>
      </c>
      <c r="F229" s="33" t="s">
        <v>731</v>
      </c>
      <c r="G229" s="33" t="s">
        <v>1543</v>
      </c>
      <c r="H229" s="34" t="s">
        <v>2201</v>
      </c>
    </row>
    <row r="230" customFormat="false" ht="15" hidden="false" customHeight="true" outlineLevel="0" collapsed="false">
      <c r="A230" s="29" t="s">
        <v>34</v>
      </c>
      <c r="B230" s="30" t="n">
        <v>2026</v>
      </c>
      <c r="C230" s="31" t="s">
        <v>1772</v>
      </c>
      <c r="D230" s="32" t="s">
        <v>2202</v>
      </c>
      <c r="E230" s="33" t="s">
        <v>2203</v>
      </c>
      <c r="F230" s="33" t="s">
        <v>1542</v>
      </c>
      <c r="G230" s="33" t="s">
        <v>1543</v>
      </c>
      <c r="H230" s="34" t="s">
        <v>2204</v>
      </c>
    </row>
    <row r="231" customFormat="false" ht="15" hidden="false" customHeight="true" outlineLevel="0" collapsed="false">
      <c r="A231" s="29" t="s">
        <v>34</v>
      </c>
      <c r="B231" s="30" t="n">
        <v>2026</v>
      </c>
      <c r="C231" s="31" t="s">
        <v>1772</v>
      </c>
      <c r="D231" s="32" t="s">
        <v>2205</v>
      </c>
      <c r="E231" s="33" t="s">
        <v>2206</v>
      </c>
      <c r="F231" s="33" t="s">
        <v>1542</v>
      </c>
      <c r="G231" s="33" t="s">
        <v>1543</v>
      </c>
      <c r="H231" s="34" t="s">
        <v>2207</v>
      </c>
    </row>
    <row r="232" customFormat="false" ht="15" hidden="false" customHeight="true" outlineLevel="0" collapsed="false">
      <c r="A232" s="29" t="s">
        <v>34</v>
      </c>
      <c r="B232" s="30" t="n">
        <v>2026</v>
      </c>
      <c r="C232" s="31" t="s">
        <v>1772</v>
      </c>
      <c r="D232" s="32" t="s">
        <v>2208</v>
      </c>
      <c r="E232" s="33" t="s">
        <v>2209</v>
      </c>
      <c r="F232" s="33" t="s">
        <v>1542</v>
      </c>
      <c r="G232" s="33" t="s">
        <v>1543</v>
      </c>
      <c r="H232" s="34" t="s">
        <v>2210</v>
      </c>
    </row>
    <row r="233" customFormat="false" ht="15" hidden="false" customHeight="true" outlineLevel="0" collapsed="false">
      <c r="A233" s="29" t="s">
        <v>34</v>
      </c>
      <c r="B233" s="30" t="n">
        <v>2026</v>
      </c>
      <c r="C233" s="31" t="s">
        <v>1665</v>
      </c>
      <c r="D233" s="32" t="s">
        <v>2211</v>
      </c>
      <c r="E233" s="33" t="s">
        <v>2212</v>
      </c>
      <c r="F233" s="33" t="s">
        <v>731</v>
      </c>
      <c r="G233" s="33" t="s">
        <v>1543</v>
      </c>
      <c r="H233" s="34" t="s">
        <v>2213</v>
      </c>
    </row>
    <row r="234" customFormat="false" ht="15" hidden="false" customHeight="true" outlineLevel="0" collapsed="false">
      <c r="A234" s="29" t="s">
        <v>34</v>
      </c>
      <c r="B234" s="30" t="n">
        <v>2026</v>
      </c>
      <c r="C234" s="31" t="s">
        <v>1665</v>
      </c>
      <c r="D234" s="32" t="s">
        <v>2214</v>
      </c>
      <c r="E234" s="33" t="s">
        <v>2215</v>
      </c>
      <c r="F234" s="33" t="s">
        <v>731</v>
      </c>
      <c r="G234" s="33" t="s">
        <v>1543</v>
      </c>
      <c r="H234" s="34" t="s">
        <v>2216</v>
      </c>
    </row>
    <row r="235" customFormat="false" ht="15" hidden="false" customHeight="true" outlineLevel="0" collapsed="false">
      <c r="A235" s="29" t="s">
        <v>34</v>
      </c>
      <c r="B235" s="30" t="n">
        <v>2026</v>
      </c>
      <c r="C235" s="31" t="s">
        <v>1665</v>
      </c>
      <c r="D235" s="32" t="s">
        <v>2217</v>
      </c>
      <c r="E235" s="33" t="s">
        <v>2218</v>
      </c>
      <c r="F235" s="33" t="s">
        <v>1027</v>
      </c>
      <c r="G235" s="33" t="s">
        <v>1543</v>
      </c>
      <c r="H235" s="34" t="s">
        <v>2219</v>
      </c>
    </row>
    <row r="236" customFormat="false" ht="15" hidden="false" customHeight="true" outlineLevel="0" collapsed="false">
      <c r="A236" s="29" t="s">
        <v>34</v>
      </c>
      <c r="B236" s="30" t="n">
        <v>2026</v>
      </c>
      <c r="C236" s="31" t="s">
        <v>1665</v>
      </c>
      <c r="D236" s="32" t="s">
        <v>2220</v>
      </c>
      <c r="E236" s="33" t="s">
        <v>2221</v>
      </c>
      <c r="F236" s="33" t="s">
        <v>731</v>
      </c>
      <c r="G236" s="33" t="s">
        <v>1543</v>
      </c>
      <c r="H236" s="34" t="s">
        <v>2222</v>
      </c>
    </row>
    <row r="237" customFormat="false" ht="15" hidden="false" customHeight="true" outlineLevel="0" collapsed="false">
      <c r="A237" s="29" t="s">
        <v>34</v>
      </c>
      <c r="B237" s="30" t="n">
        <v>2026</v>
      </c>
      <c r="C237" s="31" t="s">
        <v>1665</v>
      </c>
      <c r="D237" s="32" t="s">
        <v>2223</v>
      </c>
      <c r="E237" s="33" t="s">
        <v>2224</v>
      </c>
      <c r="F237" s="33" t="s">
        <v>1542</v>
      </c>
      <c r="G237" s="33" t="s">
        <v>1543</v>
      </c>
      <c r="H237" s="34" t="s">
        <v>2225</v>
      </c>
    </row>
    <row r="238" customFormat="false" ht="18.75" hidden="false" customHeight="true" outlineLevel="0" collapsed="false">
      <c r="A238" s="29" t="s">
        <v>10</v>
      </c>
      <c r="B238" s="30" t="n">
        <v>2023</v>
      </c>
      <c r="C238" s="31" t="s">
        <v>1629</v>
      </c>
      <c r="D238" s="32" t="s">
        <v>2226</v>
      </c>
      <c r="E238" s="33" t="s">
        <v>2227</v>
      </c>
      <c r="F238" s="33" t="s">
        <v>2014</v>
      </c>
      <c r="G238" s="33" t="s">
        <v>2228</v>
      </c>
      <c r="H238" s="34" t="s">
        <v>2229</v>
      </c>
    </row>
    <row r="239" customFormat="false" ht="18.75" hidden="false" customHeight="true" outlineLevel="0" collapsed="false">
      <c r="A239" s="29" t="s">
        <v>59</v>
      </c>
      <c r="B239" s="30" t="n">
        <v>2021</v>
      </c>
      <c r="C239" s="31" t="s">
        <v>1550</v>
      </c>
      <c r="D239" s="32" t="s">
        <v>2230</v>
      </c>
      <c r="E239" s="33" t="s">
        <v>2231</v>
      </c>
      <c r="F239" s="33" t="s">
        <v>1542</v>
      </c>
      <c r="G239" s="33" t="s">
        <v>1543</v>
      </c>
      <c r="H239" s="34" t="s">
        <v>2232</v>
      </c>
    </row>
    <row r="240" customFormat="false" ht="18.75" hidden="false" customHeight="true" outlineLevel="0" collapsed="false">
      <c r="A240" s="29" t="s">
        <v>59</v>
      </c>
      <c r="B240" s="30" t="n">
        <v>2021</v>
      </c>
      <c r="C240" s="31" t="s">
        <v>1655</v>
      </c>
      <c r="D240" s="32" t="s">
        <v>2233</v>
      </c>
      <c r="E240" s="33" t="s">
        <v>2234</v>
      </c>
      <c r="F240" s="33" t="s">
        <v>1542</v>
      </c>
      <c r="G240" s="33" t="s">
        <v>1543</v>
      </c>
      <c r="H240" s="34" t="s">
        <v>2235</v>
      </c>
    </row>
    <row r="241" customFormat="false" ht="18.75" hidden="false" customHeight="true" outlineLevel="0" collapsed="false">
      <c r="A241" s="29" t="s">
        <v>59</v>
      </c>
      <c r="B241" s="30" t="n">
        <v>2021</v>
      </c>
      <c r="C241" s="31" t="s">
        <v>1772</v>
      </c>
      <c r="D241" s="32" t="s">
        <v>2236</v>
      </c>
      <c r="E241" s="33" t="s">
        <v>2237</v>
      </c>
      <c r="F241" s="33" t="s">
        <v>1542</v>
      </c>
      <c r="G241" s="33" t="s">
        <v>1543</v>
      </c>
      <c r="H241" s="34" t="s">
        <v>2238</v>
      </c>
    </row>
    <row r="242" customFormat="false" ht="18.75" hidden="false" customHeight="true" outlineLevel="0" collapsed="false">
      <c r="A242" s="29" t="s">
        <v>59</v>
      </c>
      <c r="B242" s="30" t="n">
        <v>2021</v>
      </c>
      <c r="C242" s="31" t="s">
        <v>1772</v>
      </c>
      <c r="D242" s="32" t="s">
        <v>2236</v>
      </c>
      <c r="E242" s="33" t="s">
        <v>2239</v>
      </c>
      <c r="F242" s="33" t="s">
        <v>1542</v>
      </c>
      <c r="G242" s="33" t="s">
        <v>1543</v>
      </c>
      <c r="H242" s="34" t="s">
        <v>2240</v>
      </c>
    </row>
    <row r="243" customFormat="false" ht="15" hidden="false" customHeight="true" outlineLevel="0" collapsed="false">
      <c r="A243" s="29" t="s">
        <v>59</v>
      </c>
      <c r="B243" s="30" t="n">
        <v>2024</v>
      </c>
      <c r="C243" s="31" t="s">
        <v>1573</v>
      </c>
      <c r="D243" s="32" t="s">
        <v>2241</v>
      </c>
      <c r="E243" s="33" t="s">
        <v>2242</v>
      </c>
      <c r="F243" s="33" t="s">
        <v>1542</v>
      </c>
      <c r="G243" s="33" t="s">
        <v>1543</v>
      </c>
      <c r="H243" s="34" t="s">
        <v>2243</v>
      </c>
    </row>
    <row r="244" customFormat="false" ht="15" hidden="false" customHeight="true" outlineLevel="0" collapsed="false">
      <c r="A244" s="29" t="s">
        <v>59</v>
      </c>
      <c r="B244" s="30" t="n">
        <v>2026</v>
      </c>
      <c r="C244" s="31" t="s">
        <v>1618</v>
      </c>
      <c r="D244" s="32" t="s">
        <v>2244</v>
      </c>
      <c r="E244" s="33" t="s">
        <v>2245</v>
      </c>
      <c r="F244" s="33" t="s">
        <v>1542</v>
      </c>
      <c r="G244" s="33" t="s">
        <v>1543</v>
      </c>
      <c r="H244" s="34" t="s">
        <v>2246</v>
      </c>
    </row>
    <row r="245" customFormat="false" ht="15" hidden="false" customHeight="true" outlineLevel="0" collapsed="false">
      <c r="A245" s="29" t="s">
        <v>59</v>
      </c>
      <c r="B245" s="30" t="n">
        <v>2026</v>
      </c>
      <c r="C245" s="31" t="s">
        <v>1618</v>
      </c>
      <c r="D245" s="32" t="s">
        <v>2247</v>
      </c>
      <c r="E245" s="33" t="s">
        <v>2248</v>
      </c>
      <c r="F245" s="33" t="s">
        <v>731</v>
      </c>
      <c r="G245" s="33" t="s">
        <v>1543</v>
      </c>
      <c r="H245" s="34" t="s">
        <v>2249</v>
      </c>
    </row>
    <row r="246" customFormat="false" ht="15" hidden="false" customHeight="true" outlineLevel="0" collapsed="false">
      <c r="A246" s="29" t="s">
        <v>59</v>
      </c>
      <c r="B246" s="30" t="n">
        <v>2026</v>
      </c>
      <c r="C246" s="31" t="s">
        <v>1618</v>
      </c>
      <c r="D246" s="32" t="s">
        <v>2250</v>
      </c>
      <c r="E246" s="33" t="s">
        <v>2251</v>
      </c>
      <c r="F246" s="33" t="s">
        <v>731</v>
      </c>
      <c r="G246" s="33" t="s">
        <v>1543</v>
      </c>
      <c r="H246" s="34" t="s">
        <v>2252</v>
      </c>
    </row>
    <row r="247" customFormat="false" ht="15" hidden="false" customHeight="true" outlineLevel="0" collapsed="false">
      <c r="A247" s="29" t="s">
        <v>59</v>
      </c>
      <c r="B247" s="30" t="n">
        <v>2026</v>
      </c>
      <c r="C247" s="31" t="s">
        <v>1618</v>
      </c>
      <c r="D247" s="32" t="s">
        <v>2253</v>
      </c>
      <c r="E247" s="33" t="s">
        <v>2254</v>
      </c>
      <c r="F247" s="33" t="s">
        <v>731</v>
      </c>
      <c r="G247" s="33" t="s">
        <v>1543</v>
      </c>
      <c r="H247" s="34" t="s">
        <v>2255</v>
      </c>
    </row>
    <row r="248" customFormat="false" ht="15" hidden="false" customHeight="true" outlineLevel="0" collapsed="false">
      <c r="A248" s="29" t="s">
        <v>59</v>
      </c>
      <c r="B248" s="30" t="n">
        <v>2026</v>
      </c>
      <c r="C248" s="31" t="s">
        <v>1618</v>
      </c>
      <c r="D248" s="32" t="s">
        <v>2160</v>
      </c>
      <c r="E248" s="33" t="s">
        <v>2256</v>
      </c>
      <c r="F248" s="33" t="s">
        <v>1542</v>
      </c>
      <c r="G248" s="33" t="s">
        <v>1543</v>
      </c>
      <c r="H248" s="34" t="s">
        <v>2257</v>
      </c>
    </row>
    <row r="249" customFormat="false" ht="15" hidden="false" customHeight="true" outlineLevel="0" collapsed="false">
      <c r="A249" s="29" t="s">
        <v>59</v>
      </c>
      <c r="B249" s="30" t="n">
        <v>2026</v>
      </c>
      <c r="C249" s="31" t="s">
        <v>1618</v>
      </c>
      <c r="D249" s="32" t="s">
        <v>2258</v>
      </c>
      <c r="E249" s="33" t="s">
        <v>2259</v>
      </c>
      <c r="F249" s="33" t="s">
        <v>1542</v>
      </c>
      <c r="G249" s="33" t="s">
        <v>1543</v>
      </c>
      <c r="H249" s="34" t="s">
        <v>2260</v>
      </c>
    </row>
    <row r="250" customFormat="false" ht="15" hidden="false" customHeight="true" outlineLevel="0" collapsed="false">
      <c r="A250" s="29" t="s">
        <v>59</v>
      </c>
      <c r="B250" s="30" t="n">
        <v>2026</v>
      </c>
      <c r="C250" s="31" t="s">
        <v>1618</v>
      </c>
      <c r="D250" s="32" t="s">
        <v>2261</v>
      </c>
      <c r="E250" s="33" t="s">
        <v>2262</v>
      </c>
      <c r="F250" s="33" t="s">
        <v>1542</v>
      </c>
      <c r="G250" s="33" t="s">
        <v>1543</v>
      </c>
      <c r="H250" s="34" t="s">
        <v>2263</v>
      </c>
    </row>
    <row r="251" customFormat="false" ht="15" hidden="false" customHeight="true" outlineLevel="0" collapsed="false">
      <c r="A251" s="29" t="s">
        <v>59</v>
      </c>
      <c r="B251" s="30" t="n">
        <v>2026</v>
      </c>
      <c r="C251" s="31" t="s">
        <v>1618</v>
      </c>
      <c r="D251" s="32" t="s">
        <v>2264</v>
      </c>
      <c r="E251" s="33" t="s">
        <v>2265</v>
      </c>
      <c r="F251" s="33" t="s">
        <v>1542</v>
      </c>
      <c r="G251" s="33" t="s">
        <v>1543</v>
      </c>
      <c r="H251" s="34" t="s">
        <v>2266</v>
      </c>
    </row>
    <row r="252" customFormat="false" ht="15" hidden="false" customHeight="true" outlineLevel="0" collapsed="false">
      <c r="A252" s="29" t="s">
        <v>59</v>
      </c>
      <c r="B252" s="30" t="n">
        <v>2026</v>
      </c>
      <c r="C252" s="31" t="s">
        <v>1618</v>
      </c>
      <c r="D252" s="32" t="s">
        <v>2267</v>
      </c>
      <c r="E252" s="33" t="s">
        <v>2268</v>
      </c>
      <c r="F252" s="33" t="s">
        <v>1542</v>
      </c>
      <c r="G252" s="33" t="s">
        <v>1543</v>
      </c>
      <c r="H252" s="34" t="s">
        <v>2269</v>
      </c>
    </row>
    <row r="253" customFormat="false" ht="15" hidden="false" customHeight="true" outlineLevel="0" collapsed="false">
      <c r="A253" s="29" t="s">
        <v>59</v>
      </c>
      <c r="B253" s="30" t="n">
        <v>2026</v>
      </c>
      <c r="C253" s="31" t="s">
        <v>1618</v>
      </c>
      <c r="D253" s="32" t="s">
        <v>2270</v>
      </c>
      <c r="E253" s="33" t="s">
        <v>2271</v>
      </c>
      <c r="F253" s="33" t="s">
        <v>731</v>
      </c>
      <c r="G253" s="33" t="s">
        <v>1543</v>
      </c>
      <c r="H253" s="34" t="s">
        <v>2272</v>
      </c>
    </row>
    <row r="254" customFormat="false" ht="15" hidden="false" customHeight="true" outlineLevel="0" collapsed="false">
      <c r="A254" s="29" t="s">
        <v>59</v>
      </c>
      <c r="B254" s="30" t="n">
        <v>2026</v>
      </c>
      <c r="C254" s="31" t="s">
        <v>1618</v>
      </c>
      <c r="D254" s="32" t="s">
        <v>2273</v>
      </c>
      <c r="E254" s="33" t="s">
        <v>2274</v>
      </c>
      <c r="F254" s="33" t="s">
        <v>731</v>
      </c>
      <c r="G254" s="33" t="s">
        <v>1543</v>
      </c>
      <c r="H254" s="34" t="s">
        <v>2275</v>
      </c>
    </row>
    <row r="255" customFormat="false" ht="15" hidden="false" customHeight="true" outlineLevel="0" collapsed="false">
      <c r="A255" s="29" t="s">
        <v>59</v>
      </c>
      <c r="B255" s="30" t="n">
        <v>2026</v>
      </c>
      <c r="C255" s="31" t="s">
        <v>1618</v>
      </c>
      <c r="D255" s="32" t="s">
        <v>2276</v>
      </c>
      <c r="E255" s="33" t="s">
        <v>2277</v>
      </c>
      <c r="F255" s="33" t="s">
        <v>731</v>
      </c>
      <c r="G255" s="33" t="s">
        <v>1543</v>
      </c>
      <c r="H255" s="34" t="s">
        <v>2278</v>
      </c>
    </row>
    <row r="256" customFormat="false" ht="15" hidden="false" customHeight="true" outlineLevel="0" collapsed="false">
      <c r="A256" s="29" t="s">
        <v>59</v>
      </c>
      <c r="B256" s="30" t="n">
        <v>2026</v>
      </c>
      <c r="C256" s="31" t="s">
        <v>1618</v>
      </c>
      <c r="D256" s="32" t="s">
        <v>2279</v>
      </c>
      <c r="E256" s="33" t="s">
        <v>2280</v>
      </c>
      <c r="F256" s="33" t="s">
        <v>731</v>
      </c>
      <c r="G256" s="33" t="s">
        <v>1543</v>
      </c>
      <c r="H256" s="34" t="s">
        <v>2281</v>
      </c>
    </row>
    <row r="257" customFormat="false" ht="18.75" hidden="false" customHeight="true" outlineLevel="0" collapsed="false">
      <c r="A257" s="29" t="s">
        <v>59</v>
      </c>
      <c r="B257" s="30" t="n">
        <v>2026</v>
      </c>
      <c r="C257" s="31" t="s">
        <v>1618</v>
      </c>
      <c r="D257" s="32" t="s">
        <v>2282</v>
      </c>
      <c r="E257" s="33" t="s">
        <v>2283</v>
      </c>
      <c r="F257" s="33" t="s">
        <v>731</v>
      </c>
      <c r="G257" s="33" t="s">
        <v>1543</v>
      </c>
      <c r="H257" s="34" t="s">
        <v>2284</v>
      </c>
    </row>
    <row r="258" customFormat="false" ht="15" hidden="false" customHeight="true" outlineLevel="0" collapsed="false">
      <c r="A258" s="29" t="s">
        <v>59</v>
      </c>
      <c r="B258" s="30" t="n">
        <v>2026</v>
      </c>
      <c r="C258" s="31" t="s">
        <v>1618</v>
      </c>
      <c r="D258" s="32" t="s">
        <v>2279</v>
      </c>
      <c r="E258" s="33" t="s">
        <v>2285</v>
      </c>
      <c r="F258" s="33" t="s">
        <v>731</v>
      </c>
      <c r="G258" s="33" t="s">
        <v>1543</v>
      </c>
      <c r="H258" s="34" t="s">
        <v>2286</v>
      </c>
    </row>
    <row r="259" customFormat="false" ht="15" hidden="false" customHeight="true" outlineLevel="0" collapsed="false">
      <c r="A259" s="29" t="s">
        <v>59</v>
      </c>
      <c r="B259" s="30" t="n">
        <v>2026</v>
      </c>
      <c r="C259" s="31" t="s">
        <v>1618</v>
      </c>
      <c r="D259" s="32" t="s">
        <v>2157</v>
      </c>
      <c r="E259" s="33" t="s">
        <v>2287</v>
      </c>
      <c r="F259" s="33" t="s">
        <v>1542</v>
      </c>
      <c r="G259" s="33" t="s">
        <v>1543</v>
      </c>
      <c r="H259" s="34" t="s">
        <v>2288</v>
      </c>
    </row>
    <row r="260" customFormat="false" ht="15" hidden="false" customHeight="true" outlineLevel="0" collapsed="false">
      <c r="A260" s="29" t="s">
        <v>59</v>
      </c>
      <c r="B260" s="30" t="n">
        <v>2026</v>
      </c>
      <c r="C260" s="31" t="s">
        <v>1618</v>
      </c>
      <c r="D260" s="32" t="s">
        <v>2289</v>
      </c>
      <c r="E260" s="33" t="s">
        <v>2290</v>
      </c>
      <c r="F260" s="33" t="s">
        <v>731</v>
      </c>
      <c r="G260" s="33" t="s">
        <v>1543</v>
      </c>
      <c r="H260" s="34" t="s">
        <v>2291</v>
      </c>
    </row>
    <row r="261" customFormat="false" ht="15" hidden="false" customHeight="true" outlineLevel="0" collapsed="false">
      <c r="A261" s="29" t="s">
        <v>59</v>
      </c>
      <c r="B261" s="30" t="n">
        <v>2026</v>
      </c>
      <c r="C261" s="31" t="s">
        <v>1618</v>
      </c>
      <c r="D261" s="32" t="s">
        <v>2292</v>
      </c>
      <c r="E261" s="33" t="s">
        <v>2293</v>
      </c>
      <c r="F261" s="33" t="s">
        <v>731</v>
      </c>
      <c r="G261" s="33" t="s">
        <v>1543</v>
      </c>
      <c r="H261" s="34" t="s">
        <v>2294</v>
      </c>
    </row>
    <row r="262" customFormat="false" ht="15" hidden="false" customHeight="true" outlineLevel="0" collapsed="false">
      <c r="A262" s="29" t="s">
        <v>59</v>
      </c>
      <c r="B262" s="30" t="n">
        <v>2026</v>
      </c>
      <c r="C262" s="31" t="s">
        <v>1618</v>
      </c>
      <c r="D262" s="32" t="s">
        <v>2295</v>
      </c>
      <c r="E262" s="33" t="s">
        <v>2296</v>
      </c>
      <c r="F262" s="33" t="s">
        <v>731</v>
      </c>
      <c r="G262" s="33" t="s">
        <v>1543</v>
      </c>
      <c r="H262" s="34" t="s">
        <v>2297</v>
      </c>
    </row>
    <row r="263" customFormat="false" ht="15" hidden="false" customHeight="true" outlineLevel="0" collapsed="false">
      <c r="A263" s="29" t="s">
        <v>59</v>
      </c>
      <c r="B263" s="30" t="n">
        <v>2026</v>
      </c>
      <c r="C263" s="31" t="s">
        <v>1618</v>
      </c>
      <c r="D263" s="32" t="s">
        <v>2298</v>
      </c>
      <c r="E263" s="33" t="s">
        <v>2299</v>
      </c>
      <c r="F263" s="33" t="s">
        <v>1542</v>
      </c>
      <c r="G263" s="33" t="s">
        <v>1543</v>
      </c>
      <c r="H263" s="34" t="s">
        <v>2300</v>
      </c>
    </row>
    <row r="264" customFormat="false" ht="15" hidden="false" customHeight="true" outlineLevel="0" collapsed="false">
      <c r="A264" s="29" t="s">
        <v>59</v>
      </c>
      <c r="B264" s="30" t="n">
        <v>2026</v>
      </c>
      <c r="C264" s="31" t="s">
        <v>1618</v>
      </c>
      <c r="D264" s="32" t="s">
        <v>2301</v>
      </c>
      <c r="E264" s="33" t="s">
        <v>2302</v>
      </c>
      <c r="F264" s="33" t="s">
        <v>1542</v>
      </c>
      <c r="G264" s="33" t="s">
        <v>1543</v>
      </c>
      <c r="H264" s="34" t="s">
        <v>2303</v>
      </c>
    </row>
    <row r="265" customFormat="false" ht="18.75" hidden="false" customHeight="true" outlineLevel="0" collapsed="false">
      <c r="A265" s="29" t="s">
        <v>59</v>
      </c>
      <c r="B265" s="30" t="n">
        <v>2026</v>
      </c>
      <c r="C265" s="31" t="s">
        <v>1629</v>
      </c>
      <c r="D265" s="32" t="s">
        <v>2304</v>
      </c>
      <c r="E265" s="33" t="s">
        <v>2305</v>
      </c>
      <c r="F265" s="33" t="s">
        <v>1542</v>
      </c>
      <c r="G265" s="33" t="s">
        <v>1543</v>
      </c>
      <c r="H265" s="34" t="s">
        <v>2306</v>
      </c>
    </row>
    <row r="266" customFormat="false" ht="18.75" hidden="false" customHeight="true" outlineLevel="0" collapsed="false">
      <c r="A266" s="29" t="s">
        <v>59</v>
      </c>
      <c r="B266" s="30" t="n">
        <v>2026</v>
      </c>
      <c r="C266" s="31" t="s">
        <v>1629</v>
      </c>
      <c r="D266" s="32" t="s">
        <v>2304</v>
      </c>
      <c r="E266" s="33" t="s">
        <v>2307</v>
      </c>
      <c r="F266" s="33" t="s">
        <v>1542</v>
      </c>
      <c r="G266" s="33" t="s">
        <v>1543</v>
      </c>
      <c r="H266" s="34" t="s">
        <v>2308</v>
      </c>
    </row>
    <row r="267" customFormat="false" ht="15" hidden="false" customHeight="true" outlineLevel="0" collapsed="false">
      <c r="A267" s="29" t="s">
        <v>59</v>
      </c>
      <c r="B267" s="30" t="n">
        <v>2026</v>
      </c>
      <c r="C267" s="31" t="s">
        <v>1629</v>
      </c>
      <c r="D267" s="32" t="s">
        <v>2304</v>
      </c>
      <c r="E267" s="33" t="s">
        <v>2309</v>
      </c>
      <c r="F267" s="33" t="s">
        <v>1542</v>
      </c>
      <c r="G267" s="33" t="s">
        <v>1543</v>
      </c>
      <c r="H267" s="34" t="s">
        <v>2310</v>
      </c>
    </row>
    <row r="268" customFormat="false" ht="18.75" hidden="false" customHeight="true" outlineLevel="0" collapsed="false">
      <c r="A268" s="29" t="s">
        <v>59</v>
      </c>
      <c r="B268" s="30" t="n">
        <v>2026</v>
      </c>
      <c r="C268" s="31" t="s">
        <v>1629</v>
      </c>
      <c r="D268" s="32" t="s">
        <v>2304</v>
      </c>
      <c r="E268" s="33" t="s">
        <v>2311</v>
      </c>
      <c r="F268" s="33" t="s">
        <v>684</v>
      </c>
      <c r="G268" s="33" t="s">
        <v>1543</v>
      </c>
      <c r="H268" s="34" t="s">
        <v>2312</v>
      </c>
    </row>
    <row r="269" customFormat="false" ht="15" hidden="false" customHeight="true" outlineLevel="0" collapsed="false">
      <c r="A269" s="29" t="s">
        <v>59</v>
      </c>
      <c r="B269" s="30" t="n">
        <v>2026</v>
      </c>
      <c r="C269" s="31" t="s">
        <v>1629</v>
      </c>
      <c r="D269" s="32" t="s">
        <v>2304</v>
      </c>
      <c r="E269" s="33" t="s">
        <v>2313</v>
      </c>
      <c r="F269" s="33" t="s">
        <v>1542</v>
      </c>
      <c r="G269" s="33" t="s">
        <v>1543</v>
      </c>
      <c r="H269" s="34" t="s">
        <v>2314</v>
      </c>
    </row>
    <row r="270" customFormat="false" ht="15" hidden="false" customHeight="true" outlineLevel="0" collapsed="false">
      <c r="A270" s="29" t="s">
        <v>59</v>
      </c>
      <c r="B270" s="30" t="n">
        <v>2026</v>
      </c>
      <c r="C270" s="31" t="s">
        <v>1629</v>
      </c>
      <c r="D270" s="32" t="s">
        <v>2304</v>
      </c>
      <c r="E270" s="33" t="s">
        <v>2315</v>
      </c>
      <c r="F270" s="33" t="s">
        <v>731</v>
      </c>
      <c r="G270" s="33" t="s">
        <v>1543</v>
      </c>
      <c r="H270" s="34" t="s">
        <v>2316</v>
      </c>
    </row>
    <row r="271" customFormat="false" ht="15" hidden="false" customHeight="true" outlineLevel="0" collapsed="false">
      <c r="A271" s="29" t="s">
        <v>59</v>
      </c>
      <c r="B271" s="30" t="n">
        <v>2026</v>
      </c>
      <c r="C271" s="31" t="s">
        <v>1629</v>
      </c>
      <c r="D271" s="32" t="s">
        <v>2304</v>
      </c>
      <c r="E271" s="33" t="s">
        <v>2317</v>
      </c>
      <c r="F271" s="33" t="s">
        <v>731</v>
      </c>
      <c r="G271" s="33" t="s">
        <v>1543</v>
      </c>
      <c r="H271" s="34" t="s">
        <v>2318</v>
      </c>
    </row>
    <row r="272" customFormat="false" ht="18.75" hidden="false" customHeight="true" outlineLevel="0" collapsed="false">
      <c r="A272" s="29" t="s">
        <v>59</v>
      </c>
      <c r="B272" s="30" t="n">
        <v>2026</v>
      </c>
      <c r="C272" s="31" t="s">
        <v>1629</v>
      </c>
      <c r="D272" s="32" t="s">
        <v>2304</v>
      </c>
      <c r="E272" s="33" t="s">
        <v>2319</v>
      </c>
      <c r="F272" s="33" t="s">
        <v>731</v>
      </c>
      <c r="G272" s="33" t="s">
        <v>1543</v>
      </c>
      <c r="H272" s="34" t="s">
        <v>2320</v>
      </c>
    </row>
    <row r="273" customFormat="false" ht="18.75" hidden="false" customHeight="true" outlineLevel="0" collapsed="false">
      <c r="A273" s="29" t="s">
        <v>27</v>
      </c>
      <c r="B273" s="30" t="n">
        <v>2022</v>
      </c>
      <c r="C273" s="31" t="s">
        <v>1550</v>
      </c>
      <c r="D273" s="32" t="s">
        <v>2321</v>
      </c>
      <c r="E273" s="33" t="s">
        <v>2322</v>
      </c>
      <c r="F273" s="33" t="s">
        <v>1542</v>
      </c>
      <c r="G273" s="33" t="s">
        <v>1543</v>
      </c>
      <c r="H273" s="34" t="s">
        <v>2323</v>
      </c>
    </row>
    <row r="274" customFormat="false" ht="18.75" hidden="false" customHeight="true" outlineLevel="0" collapsed="false">
      <c r="A274" s="29" t="s">
        <v>27</v>
      </c>
      <c r="B274" s="30" t="n">
        <v>2022</v>
      </c>
      <c r="C274" s="31" t="s">
        <v>1678</v>
      </c>
      <c r="D274" s="32" t="s">
        <v>2324</v>
      </c>
      <c r="E274" s="33" t="s">
        <v>2325</v>
      </c>
      <c r="F274" s="33" t="s">
        <v>1542</v>
      </c>
      <c r="G274" s="33" t="s">
        <v>1543</v>
      </c>
      <c r="H274" s="34" t="s">
        <v>2326</v>
      </c>
    </row>
    <row r="275" customFormat="false" ht="18.75" hidden="false" customHeight="true" outlineLevel="0" collapsed="false">
      <c r="A275" s="29" t="s">
        <v>27</v>
      </c>
      <c r="B275" s="30" t="n">
        <v>2022</v>
      </c>
      <c r="C275" s="31" t="s">
        <v>1678</v>
      </c>
      <c r="D275" s="32" t="s">
        <v>2324</v>
      </c>
      <c r="E275" s="33" t="s">
        <v>2327</v>
      </c>
      <c r="F275" s="33" t="s">
        <v>1542</v>
      </c>
      <c r="G275" s="33" t="s">
        <v>1543</v>
      </c>
      <c r="H275" s="34" t="s">
        <v>2328</v>
      </c>
    </row>
    <row r="276" customFormat="false" ht="18.75" hidden="false" customHeight="true" outlineLevel="0" collapsed="false">
      <c r="A276" s="29" t="s">
        <v>27</v>
      </c>
      <c r="B276" s="30" t="n">
        <v>2022</v>
      </c>
      <c r="C276" s="31" t="s">
        <v>1581</v>
      </c>
      <c r="D276" s="32" t="s">
        <v>2329</v>
      </c>
      <c r="E276" s="33" t="s">
        <v>2330</v>
      </c>
      <c r="F276" s="33" t="s">
        <v>416</v>
      </c>
      <c r="G276" s="33" t="s">
        <v>1543</v>
      </c>
      <c r="H276" s="34" t="s">
        <v>2331</v>
      </c>
    </row>
    <row r="277" customFormat="false" ht="21.75" hidden="false" customHeight="true" outlineLevel="0" collapsed="false">
      <c r="A277" s="29" t="s">
        <v>27</v>
      </c>
      <c r="B277" s="30" t="n">
        <v>2022</v>
      </c>
      <c r="C277" s="31" t="s">
        <v>1539</v>
      </c>
      <c r="D277" s="32" t="s">
        <v>2332</v>
      </c>
      <c r="E277" s="33" t="s">
        <v>2333</v>
      </c>
      <c r="F277" s="33" t="s">
        <v>1027</v>
      </c>
      <c r="G277" s="33" t="s">
        <v>1543</v>
      </c>
      <c r="H277" s="34" t="s">
        <v>2334</v>
      </c>
    </row>
    <row r="278" customFormat="false" ht="18.75" hidden="false" customHeight="true" outlineLevel="0" collapsed="false">
      <c r="A278" s="29" t="s">
        <v>27</v>
      </c>
      <c r="B278" s="30" t="n">
        <v>2023</v>
      </c>
      <c r="C278" s="31" t="s">
        <v>1629</v>
      </c>
      <c r="D278" s="32" t="s">
        <v>2335</v>
      </c>
      <c r="E278" s="33" t="s">
        <v>2336</v>
      </c>
      <c r="F278" s="33" t="s">
        <v>1542</v>
      </c>
      <c r="G278" s="33" t="s">
        <v>1543</v>
      </c>
      <c r="H278" s="34" t="s">
        <v>2337</v>
      </c>
    </row>
    <row r="279" customFormat="false" ht="18.75" hidden="false" customHeight="true" outlineLevel="0" collapsed="false">
      <c r="A279" s="29" t="s">
        <v>27</v>
      </c>
      <c r="B279" s="30" t="n">
        <v>2023</v>
      </c>
      <c r="C279" s="31" t="s">
        <v>1665</v>
      </c>
      <c r="D279" s="32" t="s">
        <v>2338</v>
      </c>
      <c r="E279" s="33" t="s">
        <v>2339</v>
      </c>
      <c r="F279" s="33" t="s">
        <v>2340</v>
      </c>
      <c r="G279" s="33" t="s">
        <v>1543</v>
      </c>
      <c r="H279" s="34" t="s">
        <v>2341</v>
      </c>
    </row>
    <row r="280" customFormat="false" ht="18.75" hidden="false" customHeight="true" outlineLevel="0" collapsed="false">
      <c r="A280" s="29" t="s">
        <v>27</v>
      </c>
      <c r="B280" s="30" t="n">
        <v>2023</v>
      </c>
      <c r="C280" s="31" t="s">
        <v>1665</v>
      </c>
      <c r="D280" s="32" t="s">
        <v>2338</v>
      </c>
      <c r="E280" s="33" t="s">
        <v>2342</v>
      </c>
      <c r="F280" s="33" t="s">
        <v>1542</v>
      </c>
      <c r="G280" s="33" t="s">
        <v>1543</v>
      </c>
      <c r="H280" s="34" t="s">
        <v>2343</v>
      </c>
    </row>
    <row r="281" customFormat="false" ht="18.75" hidden="false" customHeight="true" outlineLevel="0" collapsed="false">
      <c r="A281" s="29" t="s">
        <v>27</v>
      </c>
      <c r="B281" s="30" t="n">
        <v>2023</v>
      </c>
      <c r="C281" s="31" t="s">
        <v>1665</v>
      </c>
      <c r="D281" s="32" t="s">
        <v>2338</v>
      </c>
      <c r="E281" s="33" t="s">
        <v>2344</v>
      </c>
      <c r="F281" s="33" t="s">
        <v>2340</v>
      </c>
      <c r="G281" s="33" t="s">
        <v>1543</v>
      </c>
      <c r="H281" s="34" t="s">
        <v>2345</v>
      </c>
    </row>
    <row r="282" customFormat="false" ht="18.75" hidden="false" customHeight="true" outlineLevel="0" collapsed="false">
      <c r="A282" s="29" t="s">
        <v>27</v>
      </c>
      <c r="B282" s="30" t="n">
        <v>2023</v>
      </c>
      <c r="C282" s="31" t="s">
        <v>1665</v>
      </c>
      <c r="D282" s="32" t="s">
        <v>2338</v>
      </c>
      <c r="E282" s="33" t="s">
        <v>2346</v>
      </c>
      <c r="F282" s="33" t="s">
        <v>1542</v>
      </c>
      <c r="G282" s="33" t="s">
        <v>1543</v>
      </c>
      <c r="H282" s="34" t="s">
        <v>2347</v>
      </c>
    </row>
    <row r="283" customFormat="false" ht="18.75" hidden="false" customHeight="true" outlineLevel="0" collapsed="false">
      <c r="A283" s="29" t="s">
        <v>27</v>
      </c>
      <c r="B283" s="30" t="n">
        <v>2023</v>
      </c>
      <c r="C283" s="31" t="s">
        <v>1665</v>
      </c>
      <c r="D283" s="32" t="s">
        <v>2338</v>
      </c>
      <c r="E283" s="33" t="s">
        <v>2348</v>
      </c>
      <c r="F283" s="33" t="s">
        <v>2014</v>
      </c>
      <c r="G283" s="33" t="s">
        <v>1543</v>
      </c>
      <c r="H283" s="34" t="s">
        <v>2349</v>
      </c>
    </row>
    <row r="284" customFormat="false" ht="18.75" hidden="false" customHeight="true" outlineLevel="0" collapsed="false">
      <c r="A284" s="29" t="s">
        <v>27</v>
      </c>
      <c r="B284" s="30" t="n">
        <v>2023</v>
      </c>
      <c r="C284" s="31" t="s">
        <v>1678</v>
      </c>
      <c r="D284" s="32" t="s">
        <v>2350</v>
      </c>
      <c r="E284" s="33" t="s">
        <v>2351</v>
      </c>
      <c r="F284" s="33" t="s">
        <v>2340</v>
      </c>
      <c r="G284" s="33" t="s">
        <v>1543</v>
      </c>
      <c r="H284" s="34" t="s">
        <v>2352</v>
      </c>
    </row>
    <row r="285" customFormat="false" ht="15" hidden="false" customHeight="true" outlineLevel="0" collapsed="false">
      <c r="A285" s="29" t="s">
        <v>27</v>
      </c>
      <c r="B285" s="30" t="n">
        <v>2023</v>
      </c>
      <c r="C285" s="31" t="s">
        <v>1581</v>
      </c>
      <c r="D285" s="32" t="s">
        <v>2353</v>
      </c>
      <c r="E285" s="33" t="s">
        <v>2354</v>
      </c>
      <c r="F285" s="33" t="s">
        <v>1542</v>
      </c>
      <c r="G285" s="33" t="s">
        <v>1543</v>
      </c>
      <c r="H285" s="34" t="s">
        <v>2355</v>
      </c>
    </row>
    <row r="286" customFormat="false" ht="15" hidden="false" customHeight="true" outlineLevel="0" collapsed="false">
      <c r="A286" s="29" t="s">
        <v>27</v>
      </c>
      <c r="B286" s="30" t="n">
        <v>2023</v>
      </c>
      <c r="C286" s="31" t="s">
        <v>1581</v>
      </c>
      <c r="D286" s="32" t="s">
        <v>2353</v>
      </c>
      <c r="E286" s="33" t="s">
        <v>2356</v>
      </c>
      <c r="F286" s="33" t="s">
        <v>1542</v>
      </c>
      <c r="G286" s="33" t="s">
        <v>1543</v>
      </c>
      <c r="H286" s="34" t="s">
        <v>2357</v>
      </c>
    </row>
    <row r="287" customFormat="false" ht="15" hidden="false" customHeight="true" outlineLevel="0" collapsed="false">
      <c r="A287" s="29" t="s">
        <v>27</v>
      </c>
      <c r="B287" s="30" t="n">
        <v>2023</v>
      </c>
      <c r="C287" s="31" t="s">
        <v>1581</v>
      </c>
      <c r="D287" s="32" t="s">
        <v>2353</v>
      </c>
      <c r="E287" s="33" t="s">
        <v>2358</v>
      </c>
      <c r="F287" s="33" t="s">
        <v>1542</v>
      </c>
      <c r="G287" s="33" t="s">
        <v>1543</v>
      </c>
      <c r="H287" s="34" t="s">
        <v>2359</v>
      </c>
    </row>
    <row r="288" customFormat="false" ht="15" hidden="false" customHeight="true" outlineLevel="0" collapsed="false">
      <c r="A288" s="29" t="s">
        <v>27</v>
      </c>
      <c r="B288" s="30" t="n">
        <v>2023</v>
      </c>
      <c r="C288" s="31" t="s">
        <v>1581</v>
      </c>
      <c r="D288" s="32" t="s">
        <v>1878</v>
      </c>
      <c r="E288" s="33" t="s">
        <v>2360</v>
      </c>
      <c r="F288" s="33" t="s">
        <v>1542</v>
      </c>
      <c r="G288" s="33" t="s">
        <v>1543</v>
      </c>
      <c r="H288" s="34" t="s">
        <v>2361</v>
      </c>
    </row>
    <row r="289" customFormat="false" ht="15" hidden="false" customHeight="true" outlineLevel="0" collapsed="false">
      <c r="A289" s="29" t="s">
        <v>27</v>
      </c>
      <c r="B289" s="30" t="n">
        <v>2024</v>
      </c>
      <c r="C289" s="31" t="s">
        <v>1636</v>
      </c>
      <c r="D289" s="32" t="s">
        <v>2362</v>
      </c>
      <c r="E289" s="33" t="s">
        <v>2363</v>
      </c>
      <c r="F289" s="33" t="s">
        <v>1542</v>
      </c>
      <c r="G289" s="33" t="s">
        <v>1543</v>
      </c>
      <c r="H289" s="34" t="s">
        <v>2364</v>
      </c>
    </row>
    <row r="290" customFormat="false" ht="21.75" hidden="false" customHeight="true" outlineLevel="0" collapsed="false">
      <c r="A290" s="29" t="s">
        <v>27</v>
      </c>
      <c r="B290" s="30" t="n">
        <v>2024</v>
      </c>
      <c r="C290" s="31" t="s">
        <v>1636</v>
      </c>
      <c r="D290" s="32" t="s">
        <v>2365</v>
      </c>
      <c r="E290" s="33" t="s">
        <v>2366</v>
      </c>
      <c r="F290" s="33" t="s">
        <v>1542</v>
      </c>
      <c r="G290" s="33" t="s">
        <v>1543</v>
      </c>
      <c r="H290" s="34" t="s">
        <v>2367</v>
      </c>
    </row>
    <row r="291" customFormat="false" ht="18.75" hidden="false" customHeight="true" outlineLevel="0" collapsed="false">
      <c r="A291" s="29" t="s">
        <v>27</v>
      </c>
      <c r="B291" s="30" t="n">
        <v>2024</v>
      </c>
      <c r="C291" s="31" t="s">
        <v>1636</v>
      </c>
      <c r="D291" s="32" t="s">
        <v>2365</v>
      </c>
      <c r="E291" s="33" t="s">
        <v>2368</v>
      </c>
      <c r="F291" s="33" t="s">
        <v>1542</v>
      </c>
      <c r="G291" s="33" t="s">
        <v>1543</v>
      </c>
      <c r="H291" s="34" t="s">
        <v>2369</v>
      </c>
    </row>
    <row r="292" customFormat="false" ht="18.75" hidden="false" customHeight="true" outlineLevel="0" collapsed="false">
      <c r="A292" s="29" t="s">
        <v>27</v>
      </c>
      <c r="B292" s="30" t="n">
        <v>2024</v>
      </c>
      <c r="C292" s="31" t="s">
        <v>1636</v>
      </c>
      <c r="D292" s="32" t="s">
        <v>2370</v>
      </c>
      <c r="E292" s="33" t="s">
        <v>2371</v>
      </c>
      <c r="F292" s="33" t="s">
        <v>731</v>
      </c>
      <c r="G292" s="33" t="s">
        <v>1543</v>
      </c>
      <c r="H292" s="34" t="s">
        <v>2372</v>
      </c>
    </row>
    <row r="293" customFormat="false" ht="15" hidden="false" customHeight="true" outlineLevel="0" collapsed="false">
      <c r="A293" s="29" t="s">
        <v>27</v>
      </c>
      <c r="B293" s="30" t="n">
        <v>2024</v>
      </c>
      <c r="C293" s="31" t="s">
        <v>1550</v>
      </c>
      <c r="D293" s="32" t="s">
        <v>2373</v>
      </c>
      <c r="E293" s="33" t="s">
        <v>2374</v>
      </c>
      <c r="F293" s="33" t="s">
        <v>1542</v>
      </c>
      <c r="G293" s="33" t="s">
        <v>1543</v>
      </c>
      <c r="H293" s="34" t="s">
        <v>2375</v>
      </c>
    </row>
    <row r="294" customFormat="false" ht="18.75" hidden="false" customHeight="true" outlineLevel="0" collapsed="false">
      <c r="A294" s="29" t="s">
        <v>27</v>
      </c>
      <c r="B294" s="30" t="n">
        <v>2024</v>
      </c>
      <c r="C294" s="31" t="s">
        <v>1665</v>
      </c>
      <c r="D294" s="32" t="s">
        <v>2376</v>
      </c>
      <c r="E294" s="33" t="s">
        <v>2377</v>
      </c>
      <c r="F294" s="33" t="s">
        <v>1542</v>
      </c>
      <c r="G294" s="33" t="s">
        <v>1543</v>
      </c>
      <c r="H294" s="34" t="s">
        <v>2378</v>
      </c>
    </row>
    <row r="295" customFormat="false" ht="15" hidden="false" customHeight="true" outlineLevel="0" collapsed="false">
      <c r="A295" s="29" t="s">
        <v>27</v>
      </c>
      <c r="B295" s="30" t="n">
        <v>2024</v>
      </c>
      <c r="C295" s="31" t="s">
        <v>1665</v>
      </c>
      <c r="D295" s="32" t="s">
        <v>2376</v>
      </c>
      <c r="E295" s="33" t="s">
        <v>2379</v>
      </c>
      <c r="F295" s="33" t="s">
        <v>1542</v>
      </c>
      <c r="G295" s="33" t="s">
        <v>1543</v>
      </c>
      <c r="H295" s="34" t="s">
        <v>2380</v>
      </c>
    </row>
    <row r="296" customFormat="false" ht="18.75" hidden="false" customHeight="true" outlineLevel="0" collapsed="false">
      <c r="A296" s="29" t="s">
        <v>27</v>
      </c>
      <c r="B296" s="30" t="n">
        <v>2024</v>
      </c>
      <c r="C296" s="31" t="s">
        <v>1665</v>
      </c>
      <c r="D296" s="32" t="s">
        <v>2376</v>
      </c>
      <c r="E296" s="33" t="s">
        <v>2381</v>
      </c>
      <c r="F296" s="33" t="s">
        <v>660</v>
      </c>
      <c r="G296" s="33" t="s">
        <v>1543</v>
      </c>
      <c r="H296" s="34" t="s">
        <v>2382</v>
      </c>
    </row>
    <row r="297" customFormat="false" ht="18.75" hidden="false" customHeight="true" outlineLevel="0" collapsed="false">
      <c r="A297" s="29" t="s">
        <v>27</v>
      </c>
      <c r="B297" s="30" t="n">
        <v>2024</v>
      </c>
      <c r="C297" s="31" t="s">
        <v>1665</v>
      </c>
      <c r="D297" s="32" t="s">
        <v>2383</v>
      </c>
      <c r="E297" s="33" t="s">
        <v>2384</v>
      </c>
      <c r="F297" s="33" t="s">
        <v>1542</v>
      </c>
      <c r="G297" s="33" t="s">
        <v>1543</v>
      </c>
      <c r="H297" s="34" t="s">
        <v>2385</v>
      </c>
    </row>
    <row r="298" customFormat="false" ht="15" hidden="false" customHeight="true" outlineLevel="0" collapsed="false">
      <c r="A298" s="29" t="s">
        <v>27</v>
      </c>
      <c r="B298" s="30" t="n">
        <v>2024</v>
      </c>
      <c r="C298" s="31" t="s">
        <v>1678</v>
      </c>
      <c r="D298" s="32" t="s">
        <v>2386</v>
      </c>
      <c r="E298" s="33" t="s">
        <v>2387</v>
      </c>
      <c r="F298" s="33" t="s">
        <v>1542</v>
      </c>
      <c r="G298" s="33" t="s">
        <v>1543</v>
      </c>
      <c r="H298" s="34" t="s">
        <v>2388</v>
      </c>
    </row>
    <row r="299" customFormat="false" ht="18.75" hidden="false" customHeight="true" outlineLevel="0" collapsed="false">
      <c r="A299" s="29" t="s">
        <v>27</v>
      </c>
      <c r="B299" s="30" t="n">
        <v>2024</v>
      </c>
      <c r="C299" s="31" t="s">
        <v>1557</v>
      </c>
      <c r="D299" s="32" t="s">
        <v>2389</v>
      </c>
      <c r="E299" s="33" t="s">
        <v>2390</v>
      </c>
      <c r="F299" s="33" t="s">
        <v>1542</v>
      </c>
      <c r="G299" s="33" t="s">
        <v>1543</v>
      </c>
      <c r="H299" s="34" t="s">
        <v>1076</v>
      </c>
    </row>
    <row r="300" customFormat="false" ht="18.75" hidden="false" customHeight="true" outlineLevel="0" collapsed="false">
      <c r="A300" s="29" t="s">
        <v>27</v>
      </c>
      <c r="B300" s="30" t="n">
        <v>2025</v>
      </c>
      <c r="C300" s="31" t="s">
        <v>1618</v>
      </c>
      <c r="D300" s="32" t="s">
        <v>2391</v>
      </c>
      <c r="E300" s="33" t="s">
        <v>2392</v>
      </c>
      <c r="F300" s="33" t="s">
        <v>1542</v>
      </c>
      <c r="G300" s="33" t="s">
        <v>1543</v>
      </c>
      <c r="H300" s="34" t="s">
        <v>2393</v>
      </c>
    </row>
    <row r="301" customFormat="false" ht="21.75" hidden="false" customHeight="true" outlineLevel="0" collapsed="false">
      <c r="A301" s="29" t="s">
        <v>27</v>
      </c>
      <c r="B301" s="30" t="n">
        <v>2025</v>
      </c>
      <c r="C301" s="31" t="s">
        <v>1550</v>
      </c>
      <c r="D301" s="32" t="s">
        <v>2394</v>
      </c>
      <c r="E301" s="33" t="s">
        <v>2395</v>
      </c>
      <c r="F301" s="33" t="s">
        <v>1542</v>
      </c>
      <c r="G301" s="33" t="s">
        <v>1543</v>
      </c>
      <c r="H301" s="34" t="s">
        <v>1067</v>
      </c>
    </row>
    <row r="302" customFormat="false" ht="18.75" hidden="false" customHeight="true" outlineLevel="0" collapsed="false">
      <c r="A302" s="29" t="s">
        <v>27</v>
      </c>
      <c r="B302" s="30" t="n">
        <v>2025</v>
      </c>
      <c r="C302" s="31" t="s">
        <v>1772</v>
      </c>
      <c r="D302" s="32" t="s">
        <v>2396</v>
      </c>
      <c r="E302" s="33" t="s">
        <v>2397</v>
      </c>
      <c r="F302" s="33" t="s">
        <v>416</v>
      </c>
      <c r="G302" s="33" t="s">
        <v>1543</v>
      </c>
      <c r="H302" s="34" t="s">
        <v>1071</v>
      </c>
    </row>
    <row r="303" customFormat="false" ht="15" hidden="false" customHeight="true" outlineLevel="0" collapsed="false">
      <c r="A303" s="29" t="s">
        <v>27</v>
      </c>
      <c r="B303" s="30" t="n">
        <v>2026</v>
      </c>
      <c r="C303" s="31" t="s">
        <v>1618</v>
      </c>
      <c r="D303" s="32" t="s">
        <v>2298</v>
      </c>
      <c r="E303" s="33" t="s">
        <v>2398</v>
      </c>
      <c r="F303" s="33" t="s">
        <v>1542</v>
      </c>
      <c r="G303" s="33" t="s">
        <v>1543</v>
      </c>
      <c r="H303" s="34" t="s">
        <v>2399</v>
      </c>
    </row>
    <row r="304" customFormat="false" ht="21.75" hidden="false" customHeight="true" outlineLevel="0" collapsed="false">
      <c r="A304" s="29" t="s">
        <v>52</v>
      </c>
      <c r="B304" s="30" t="n">
        <v>2022</v>
      </c>
      <c r="C304" s="31" t="s">
        <v>1581</v>
      </c>
      <c r="D304" s="32" t="s">
        <v>2400</v>
      </c>
      <c r="E304" s="33" t="s">
        <v>2401</v>
      </c>
      <c r="F304" s="33" t="s">
        <v>1542</v>
      </c>
      <c r="G304" s="33" t="s">
        <v>1543</v>
      </c>
      <c r="H304" s="34" t="s">
        <v>2402</v>
      </c>
    </row>
    <row r="305" customFormat="false" ht="21.75" hidden="false" customHeight="true" outlineLevel="0" collapsed="false">
      <c r="A305" s="29" t="s">
        <v>52</v>
      </c>
      <c r="B305" s="30" t="n">
        <v>2023</v>
      </c>
      <c r="C305" s="31" t="s">
        <v>1550</v>
      </c>
      <c r="D305" s="32" t="s">
        <v>2403</v>
      </c>
      <c r="E305" s="33" t="s">
        <v>2404</v>
      </c>
      <c r="F305" s="33" t="s">
        <v>1542</v>
      </c>
      <c r="G305" s="33" t="s">
        <v>1543</v>
      </c>
      <c r="H305" s="34" t="s">
        <v>2405</v>
      </c>
    </row>
    <row r="306" customFormat="false" ht="18.75" hidden="false" customHeight="true" outlineLevel="0" collapsed="false">
      <c r="A306" s="29" t="s">
        <v>13</v>
      </c>
      <c r="B306" s="30" t="n">
        <v>2021</v>
      </c>
      <c r="C306" s="31" t="s">
        <v>1629</v>
      </c>
      <c r="D306" s="32" t="s">
        <v>2406</v>
      </c>
      <c r="E306" s="33" t="s">
        <v>2407</v>
      </c>
      <c r="F306" s="33" t="s">
        <v>416</v>
      </c>
      <c r="G306" s="33" t="s">
        <v>1543</v>
      </c>
      <c r="H306" s="34" t="s">
        <v>329</v>
      </c>
    </row>
    <row r="307" customFormat="false" ht="15" hidden="false" customHeight="true" outlineLevel="0" collapsed="false">
      <c r="A307" s="29" t="s">
        <v>13</v>
      </c>
      <c r="B307" s="30" t="n">
        <v>2021</v>
      </c>
      <c r="C307" s="31" t="s">
        <v>1636</v>
      </c>
      <c r="D307" s="32" t="s">
        <v>2408</v>
      </c>
      <c r="E307" s="33" t="s">
        <v>2409</v>
      </c>
      <c r="F307" s="33" t="s">
        <v>416</v>
      </c>
      <c r="G307" s="33" t="s">
        <v>1543</v>
      </c>
      <c r="H307" s="34" t="s">
        <v>2410</v>
      </c>
    </row>
    <row r="308" customFormat="false" ht="15" hidden="false" customHeight="true" outlineLevel="0" collapsed="false">
      <c r="A308" s="29" t="s">
        <v>13</v>
      </c>
      <c r="B308" s="30" t="n">
        <v>2021</v>
      </c>
      <c r="C308" s="31" t="s">
        <v>1636</v>
      </c>
      <c r="D308" s="32" t="s">
        <v>2411</v>
      </c>
      <c r="E308" s="33" t="s">
        <v>2412</v>
      </c>
      <c r="F308" s="33" t="s">
        <v>1542</v>
      </c>
      <c r="G308" s="33" t="s">
        <v>1543</v>
      </c>
      <c r="H308" s="34" t="s">
        <v>2413</v>
      </c>
    </row>
    <row r="309" customFormat="false" ht="21.75" hidden="false" customHeight="true" outlineLevel="0" collapsed="false">
      <c r="A309" s="29" t="s">
        <v>13</v>
      </c>
      <c r="B309" s="30" t="n">
        <v>2021</v>
      </c>
      <c r="C309" s="31" t="s">
        <v>1636</v>
      </c>
      <c r="D309" s="32" t="s">
        <v>2414</v>
      </c>
      <c r="E309" s="33" t="s">
        <v>2415</v>
      </c>
      <c r="F309" s="33" t="s">
        <v>1542</v>
      </c>
      <c r="G309" s="33" t="s">
        <v>1543</v>
      </c>
      <c r="H309" s="34" t="s">
        <v>2416</v>
      </c>
    </row>
    <row r="310" customFormat="false" ht="15" hidden="false" customHeight="true" outlineLevel="0" collapsed="false">
      <c r="A310" s="29" t="s">
        <v>13</v>
      </c>
      <c r="B310" s="30" t="n">
        <v>2021</v>
      </c>
      <c r="C310" s="31" t="s">
        <v>1550</v>
      </c>
      <c r="D310" s="32" t="s">
        <v>2417</v>
      </c>
      <c r="E310" s="33" t="s">
        <v>2418</v>
      </c>
      <c r="F310" s="33" t="s">
        <v>416</v>
      </c>
      <c r="G310" s="33" t="s">
        <v>1543</v>
      </c>
      <c r="H310" s="34" t="s">
        <v>2419</v>
      </c>
    </row>
    <row r="311" customFormat="false" ht="15" hidden="false" customHeight="true" outlineLevel="0" collapsed="false">
      <c r="A311" s="29" t="s">
        <v>13</v>
      </c>
      <c r="B311" s="30" t="n">
        <v>2021</v>
      </c>
      <c r="C311" s="31" t="s">
        <v>1550</v>
      </c>
      <c r="D311" s="32" t="s">
        <v>1646</v>
      </c>
      <c r="E311" s="33" t="s">
        <v>2420</v>
      </c>
      <c r="F311" s="33" t="s">
        <v>416</v>
      </c>
      <c r="G311" s="33" t="s">
        <v>1543</v>
      </c>
      <c r="H311" s="34" t="s">
        <v>2421</v>
      </c>
    </row>
    <row r="312" customFormat="false" ht="15" hidden="false" customHeight="true" outlineLevel="0" collapsed="false">
      <c r="A312" s="29" t="s">
        <v>13</v>
      </c>
      <c r="B312" s="30" t="n">
        <v>2021</v>
      </c>
      <c r="C312" s="31" t="s">
        <v>1665</v>
      </c>
      <c r="D312" s="32" t="s">
        <v>2422</v>
      </c>
      <c r="E312" s="33" t="s">
        <v>2423</v>
      </c>
      <c r="F312" s="33" t="s">
        <v>416</v>
      </c>
      <c r="G312" s="33" t="s">
        <v>1543</v>
      </c>
      <c r="H312" s="34" t="s">
        <v>2424</v>
      </c>
    </row>
    <row r="313" customFormat="false" ht="15" hidden="false" customHeight="true" outlineLevel="0" collapsed="false">
      <c r="A313" s="29" t="s">
        <v>13</v>
      </c>
      <c r="B313" s="30" t="n">
        <v>2021</v>
      </c>
      <c r="C313" s="31" t="s">
        <v>1678</v>
      </c>
      <c r="D313" s="32" t="s">
        <v>2425</v>
      </c>
      <c r="E313" s="33" t="s">
        <v>2426</v>
      </c>
      <c r="F313" s="33" t="s">
        <v>456</v>
      </c>
      <c r="G313" s="33" t="s">
        <v>1543</v>
      </c>
      <c r="H313" s="34" t="s">
        <v>341</v>
      </c>
    </row>
    <row r="314" customFormat="false" ht="15" hidden="false" customHeight="true" outlineLevel="0" collapsed="false">
      <c r="A314" s="29" t="s">
        <v>13</v>
      </c>
      <c r="B314" s="30" t="n">
        <v>2021</v>
      </c>
      <c r="C314" s="31" t="s">
        <v>1573</v>
      </c>
      <c r="D314" s="32" t="s">
        <v>1685</v>
      </c>
      <c r="E314" s="33" t="s">
        <v>2427</v>
      </c>
      <c r="F314" s="33" t="s">
        <v>1027</v>
      </c>
      <c r="G314" s="33" t="s">
        <v>1543</v>
      </c>
      <c r="H314" s="34" t="s">
        <v>347</v>
      </c>
    </row>
    <row r="315" customFormat="false" ht="15" hidden="false" customHeight="true" outlineLevel="0" collapsed="false">
      <c r="A315" s="29" t="s">
        <v>13</v>
      </c>
      <c r="B315" s="30" t="n">
        <v>2022</v>
      </c>
      <c r="C315" s="31" t="s">
        <v>1636</v>
      </c>
      <c r="D315" s="32" t="s">
        <v>2428</v>
      </c>
      <c r="E315" s="33" t="s">
        <v>2429</v>
      </c>
      <c r="F315" s="33" t="s">
        <v>416</v>
      </c>
      <c r="G315" s="33" t="s">
        <v>1543</v>
      </c>
      <c r="H315" s="34" t="s">
        <v>2430</v>
      </c>
    </row>
    <row r="316" customFormat="false" ht="15" hidden="false" customHeight="true" outlineLevel="0" collapsed="false">
      <c r="A316" s="29" t="s">
        <v>13</v>
      </c>
      <c r="B316" s="30" t="n">
        <v>2022</v>
      </c>
      <c r="C316" s="31" t="s">
        <v>1636</v>
      </c>
      <c r="D316" s="32" t="s">
        <v>2431</v>
      </c>
      <c r="E316" s="33" t="s">
        <v>2432</v>
      </c>
      <c r="F316" s="33" t="s">
        <v>416</v>
      </c>
      <c r="G316" s="33" t="s">
        <v>1543</v>
      </c>
      <c r="H316" s="34" t="s">
        <v>2433</v>
      </c>
    </row>
    <row r="317" customFormat="false" ht="15" hidden="false" customHeight="true" outlineLevel="0" collapsed="false">
      <c r="A317" s="29" t="s">
        <v>13</v>
      </c>
      <c r="B317" s="30" t="n">
        <v>2022</v>
      </c>
      <c r="C317" s="31" t="s">
        <v>1550</v>
      </c>
      <c r="D317" s="32" t="s">
        <v>2434</v>
      </c>
      <c r="E317" s="33" t="s">
        <v>2435</v>
      </c>
      <c r="F317" s="33" t="s">
        <v>416</v>
      </c>
      <c r="G317" s="33" t="s">
        <v>1543</v>
      </c>
      <c r="H317" s="34" t="s">
        <v>2436</v>
      </c>
    </row>
    <row r="318" customFormat="false" ht="15" hidden="false" customHeight="true" outlineLevel="0" collapsed="false">
      <c r="A318" s="29" t="s">
        <v>13</v>
      </c>
      <c r="B318" s="30" t="n">
        <v>2022</v>
      </c>
      <c r="C318" s="31" t="s">
        <v>1772</v>
      </c>
      <c r="D318" s="32" t="s">
        <v>2437</v>
      </c>
      <c r="E318" s="33" t="s">
        <v>2438</v>
      </c>
      <c r="F318" s="33" t="s">
        <v>731</v>
      </c>
      <c r="G318" s="33" t="s">
        <v>1543</v>
      </c>
      <c r="H318" s="34" t="s">
        <v>2439</v>
      </c>
    </row>
    <row r="319" customFormat="false" ht="15" hidden="false" customHeight="true" outlineLevel="0" collapsed="false">
      <c r="A319" s="29" t="s">
        <v>13</v>
      </c>
      <c r="B319" s="30" t="n">
        <v>2022</v>
      </c>
      <c r="C319" s="31" t="s">
        <v>1573</v>
      </c>
      <c r="D319" s="32" t="s">
        <v>2440</v>
      </c>
      <c r="E319" s="33" t="s">
        <v>2441</v>
      </c>
      <c r="F319" s="33" t="s">
        <v>1027</v>
      </c>
      <c r="G319" s="33" t="s">
        <v>1543</v>
      </c>
      <c r="H319" s="34" t="s">
        <v>2442</v>
      </c>
    </row>
    <row r="320" customFormat="false" ht="15" hidden="false" customHeight="true" outlineLevel="0" collapsed="false">
      <c r="A320" s="29" t="s">
        <v>13</v>
      </c>
      <c r="B320" s="30" t="n">
        <v>2022</v>
      </c>
      <c r="C320" s="31" t="s">
        <v>1573</v>
      </c>
      <c r="D320" s="32" t="s">
        <v>2443</v>
      </c>
      <c r="E320" s="33" t="s">
        <v>2444</v>
      </c>
      <c r="F320" s="33" t="s">
        <v>416</v>
      </c>
      <c r="G320" s="33" t="s">
        <v>1543</v>
      </c>
      <c r="H320" s="34" t="s">
        <v>2445</v>
      </c>
    </row>
    <row r="321" customFormat="false" ht="15" hidden="false" customHeight="true" outlineLevel="0" collapsed="false">
      <c r="A321" s="29" t="s">
        <v>13</v>
      </c>
      <c r="B321" s="30" t="n">
        <v>2022</v>
      </c>
      <c r="C321" s="31" t="s">
        <v>1557</v>
      </c>
      <c r="D321" s="32" t="s">
        <v>2446</v>
      </c>
      <c r="E321" s="33" t="s">
        <v>2447</v>
      </c>
      <c r="F321" s="33" t="s">
        <v>416</v>
      </c>
      <c r="G321" s="33" t="s">
        <v>1543</v>
      </c>
      <c r="H321" s="34" t="s">
        <v>2448</v>
      </c>
    </row>
    <row r="322" customFormat="false" ht="21.75" hidden="false" customHeight="true" outlineLevel="0" collapsed="false">
      <c r="A322" s="29" t="s">
        <v>13</v>
      </c>
      <c r="B322" s="30" t="n">
        <v>2023</v>
      </c>
      <c r="C322" s="31"/>
      <c r="D322" s="32"/>
      <c r="E322" s="33" t="s">
        <v>2449</v>
      </c>
      <c r="F322" s="33" t="s">
        <v>416</v>
      </c>
      <c r="G322" s="33" t="s">
        <v>1548</v>
      </c>
      <c r="H322" s="34" t="s">
        <v>2450</v>
      </c>
    </row>
    <row r="323" customFormat="false" ht="15" hidden="false" customHeight="true" outlineLevel="0" collapsed="false">
      <c r="A323" s="29" t="s">
        <v>13</v>
      </c>
      <c r="B323" s="30" t="n">
        <v>2023</v>
      </c>
      <c r="C323" s="31" t="s">
        <v>1618</v>
      </c>
      <c r="D323" s="32" t="s">
        <v>2451</v>
      </c>
      <c r="E323" s="33" t="s">
        <v>2452</v>
      </c>
      <c r="F323" s="33" t="s">
        <v>1542</v>
      </c>
      <c r="G323" s="33" t="s">
        <v>1543</v>
      </c>
      <c r="H323" s="34" t="s">
        <v>353</v>
      </c>
    </row>
    <row r="324" customFormat="false" ht="15" hidden="false" customHeight="true" outlineLevel="0" collapsed="false">
      <c r="A324" s="29" t="s">
        <v>13</v>
      </c>
      <c r="B324" s="30" t="n">
        <v>2023</v>
      </c>
      <c r="C324" s="31" t="s">
        <v>1636</v>
      </c>
      <c r="D324" s="32" t="s">
        <v>2453</v>
      </c>
      <c r="E324" s="33" t="s">
        <v>2454</v>
      </c>
      <c r="F324" s="33" t="s">
        <v>1542</v>
      </c>
      <c r="G324" s="33" t="s">
        <v>1543</v>
      </c>
      <c r="H324" s="34" t="s">
        <v>370</v>
      </c>
    </row>
    <row r="325" customFormat="false" ht="15" hidden="false" customHeight="true" outlineLevel="0" collapsed="false">
      <c r="A325" s="29" t="s">
        <v>13</v>
      </c>
      <c r="B325" s="30" t="n">
        <v>2023</v>
      </c>
      <c r="C325" s="31" t="s">
        <v>1550</v>
      </c>
      <c r="D325" s="32" t="s">
        <v>2455</v>
      </c>
      <c r="E325" s="33" t="s">
        <v>2456</v>
      </c>
      <c r="F325" s="33" t="s">
        <v>1542</v>
      </c>
      <c r="G325" s="33" t="s">
        <v>1543</v>
      </c>
      <c r="H325" s="34" t="s">
        <v>2457</v>
      </c>
    </row>
    <row r="326" customFormat="false" ht="15" hidden="false" customHeight="true" outlineLevel="0" collapsed="false">
      <c r="A326" s="29" t="s">
        <v>13</v>
      </c>
      <c r="B326" s="30" t="n">
        <v>2023</v>
      </c>
      <c r="C326" s="31" t="s">
        <v>1550</v>
      </c>
      <c r="D326" s="32" t="s">
        <v>2458</v>
      </c>
      <c r="E326" s="33" t="s">
        <v>2459</v>
      </c>
      <c r="F326" s="33" t="s">
        <v>1542</v>
      </c>
      <c r="G326" s="33" t="s">
        <v>1543</v>
      </c>
      <c r="H326" s="34" t="s">
        <v>2460</v>
      </c>
    </row>
    <row r="327" customFormat="false" ht="15" hidden="false" customHeight="true" outlineLevel="0" collapsed="false">
      <c r="A327" s="29" t="s">
        <v>13</v>
      </c>
      <c r="B327" s="30" t="n">
        <v>2023</v>
      </c>
      <c r="C327" s="31" t="s">
        <v>1772</v>
      </c>
      <c r="D327" s="32" t="s">
        <v>2461</v>
      </c>
      <c r="E327" s="33" t="s">
        <v>2449</v>
      </c>
      <c r="F327" s="33" t="s">
        <v>416</v>
      </c>
      <c r="G327" s="33" t="s">
        <v>1543</v>
      </c>
      <c r="H327" s="34" t="s">
        <v>358</v>
      </c>
    </row>
    <row r="328" customFormat="false" ht="15" hidden="false" customHeight="true" outlineLevel="0" collapsed="false">
      <c r="A328" s="29" t="s">
        <v>13</v>
      </c>
      <c r="B328" s="30" t="n">
        <v>2023</v>
      </c>
      <c r="C328" s="31" t="s">
        <v>1665</v>
      </c>
      <c r="D328" s="32" t="s">
        <v>2462</v>
      </c>
      <c r="E328" s="33" t="s">
        <v>2463</v>
      </c>
      <c r="F328" s="33" t="s">
        <v>1027</v>
      </c>
      <c r="G328" s="33" t="s">
        <v>1543</v>
      </c>
      <c r="H328" s="34" t="s">
        <v>364</v>
      </c>
    </row>
    <row r="329" customFormat="false" ht="15" hidden="false" customHeight="true" outlineLevel="0" collapsed="false">
      <c r="A329" s="29" t="s">
        <v>13</v>
      </c>
      <c r="B329" s="30" t="n">
        <v>2023</v>
      </c>
      <c r="C329" s="31" t="s">
        <v>1678</v>
      </c>
      <c r="D329" s="32" t="s">
        <v>2464</v>
      </c>
      <c r="E329" s="33" t="s">
        <v>2465</v>
      </c>
      <c r="F329" s="33" t="s">
        <v>456</v>
      </c>
      <c r="G329" s="33" t="s">
        <v>1543</v>
      </c>
      <c r="H329" s="34" t="s">
        <v>2466</v>
      </c>
    </row>
    <row r="330" customFormat="false" ht="18.75" hidden="false" customHeight="true" outlineLevel="0" collapsed="false">
      <c r="A330" s="29" t="s">
        <v>13</v>
      </c>
      <c r="B330" s="30" t="n">
        <v>2023</v>
      </c>
      <c r="C330" s="31" t="s">
        <v>1678</v>
      </c>
      <c r="D330" s="32" t="s">
        <v>1860</v>
      </c>
      <c r="E330" s="33" t="s">
        <v>2467</v>
      </c>
      <c r="F330" s="33" t="s">
        <v>416</v>
      </c>
      <c r="G330" s="33" t="s">
        <v>1543</v>
      </c>
      <c r="H330" s="34" t="s">
        <v>2468</v>
      </c>
    </row>
    <row r="331" customFormat="false" ht="15" hidden="false" customHeight="true" outlineLevel="0" collapsed="false">
      <c r="A331" s="29" t="s">
        <v>13</v>
      </c>
      <c r="B331" s="30" t="n">
        <v>2023</v>
      </c>
      <c r="C331" s="31" t="s">
        <v>1557</v>
      </c>
      <c r="D331" s="32" t="s">
        <v>2469</v>
      </c>
      <c r="E331" s="33" t="s">
        <v>2470</v>
      </c>
      <c r="F331" s="33" t="s">
        <v>416</v>
      </c>
      <c r="G331" s="33" t="s">
        <v>1543</v>
      </c>
      <c r="H331" s="34" t="s">
        <v>2471</v>
      </c>
    </row>
    <row r="332" customFormat="false" ht="21.75" hidden="false" customHeight="true" outlineLevel="0" collapsed="false">
      <c r="A332" s="29" t="s">
        <v>13</v>
      </c>
      <c r="B332" s="30" t="n">
        <v>2024</v>
      </c>
      <c r="C332" s="31"/>
      <c r="D332" s="32"/>
      <c r="E332" s="33" t="s">
        <v>2472</v>
      </c>
      <c r="F332" s="33" t="s">
        <v>416</v>
      </c>
      <c r="G332" s="33" t="s">
        <v>1548</v>
      </c>
      <c r="H332" s="34" t="s">
        <v>2473</v>
      </c>
    </row>
    <row r="333" customFormat="false" ht="21.75" hidden="false" customHeight="true" outlineLevel="0" collapsed="false">
      <c r="A333" s="29" t="s">
        <v>13</v>
      </c>
      <c r="B333" s="30" t="n">
        <v>2024</v>
      </c>
      <c r="C333" s="31"/>
      <c r="D333" s="32"/>
      <c r="E333" s="33" t="s">
        <v>2474</v>
      </c>
      <c r="F333" s="33" t="s">
        <v>1027</v>
      </c>
      <c r="G333" s="33" t="s">
        <v>1548</v>
      </c>
      <c r="H333" s="34" t="s">
        <v>2475</v>
      </c>
    </row>
    <row r="334" customFormat="false" ht="15" hidden="false" customHeight="true" outlineLevel="0" collapsed="false">
      <c r="A334" s="29" t="s">
        <v>13</v>
      </c>
      <c r="B334" s="30" t="n">
        <v>2024</v>
      </c>
      <c r="C334" s="31" t="s">
        <v>1629</v>
      </c>
      <c r="D334" s="32" t="s">
        <v>2476</v>
      </c>
      <c r="E334" s="33" t="s">
        <v>2477</v>
      </c>
      <c r="F334" s="33" t="s">
        <v>416</v>
      </c>
      <c r="G334" s="33" t="s">
        <v>1543</v>
      </c>
      <c r="H334" s="34" t="s">
        <v>2478</v>
      </c>
    </row>
    <row r="335" customFormat="false" ht="18.75" hidden="false" customHeight="true" outlineLevel="0" collapsed="false">
      <c r="A335" s="29" t="s">
        <v>13</v>
      </c>
      <c r="B335" s="30" t="n">
        <v>2024</v>
      </c>
      <c r="C335" s="31" t="s">
        <v>1629</v>
      </c>
      <c r="D335" s="32" t="s">
        <v>1935</v>
      </c>
      <c r="E335" s="33" t="s">
        <v>2472</v>
      </c>
      <c r="F335" s="33" t="s">
        <v>416</v>
      </c>
      <c r="G335" s="33" t="s">
        <v>1543</v>
      </c>
      <c r="H335" s="34" t="s">
        <v>2479</v>
      </c>
    </row>
    <row r="336" customFormat="false" ht="15" hidden="false" customHeight="true" outlineLevel="0" collapsed="false">
      <c r="A336" s="29" t="s">
        <v>13</v>
      </c>
      <c r="B336" s="30" t="n">
        <v>2024</v>
      </c>
      <c r="C336" s="31" t="s">
        <v>1636</v>
      </c>
      <c r="D336" s="32" t="s">
        <v>2480</v>
      </c>
      <c r="E336" s="33" t="s">
        <v>2481</v>
      </c>
      <c r="F336" s="33" t="s">
        <v>416</v>
      </c>
      <c r="G336" s="33" t="s">
        <v>2228</v>
      </c>
      <c r="H336" s="34" t="s">
        <v>2482</v>
      </c>
    </row>
    <row r="337" customFormat="false" ht="15" hidden="false" customHeight="true" outlineLevel="0" collapsed="false">
      <c r="A337" s="29" t="s">
        <v>13</v>
      </c>
      <c r="B337" s="30" t="n">
        <v>2024</v>
      </c>
      <c r="C337" s="31" t="s">
        <v>1636</v>
      </c>
      <c r="D337" s="32" t="s">
        <v>1944</v>
      </c>
      <c r="E337" s="33" t="s">
        <v>2483</v>
      </c>
      <c r="F337" s="33" t="s">
        <v>2014</v>
      </c>
      <c r="G337" s="33" t="s">
        <v>1543</v>
      </c>
      <c r="H337" s="34" t="s">
        <v>2484</v>
      </c>
    </row>
    <row r="338" customFormat="false" ht="21.75" hidden="false" customHeight="true" outlineLevel="0" collapsed="false">
      <c r="A338" s="29" t="s">
        <v>13</v>
      </c>
      <c r="B338" s="30" t="n">
        <v>2024</v>
      </c>
      <c r="C338" s="31" t="s">
        <v>1550</v>
      </c>
      <c r="D338" s="32" t="s">
        <v>1965</v>
      </c>
      <c r="E338" s="33" t="s">
        <v>2485</v>
      </c>
      <c r="F338" s="33" t="s">
        <v>416</v>
      </c>
      <c r="G338" s="33" t="s">
        <v>1543</v>
      </c>
      <c r="H338" s="34" t="s">
        <v>301</v>
      </c>
    </row>
    <row r="339" customFormat="false" ht="21.75" hidden="false" customHeight="true" outlineLevel="0" collapsed="false">
      <c r="A339" s="29" t="s">
        <v>13</v>
      </c>
      <c r="B339" s="30" t="n">
        <v>2024</v>
      </c>
      <c r="C339" s="31" t="s">
        <v>1655</v>
      </c>
      <c r="D339" s="32" t="s">
        <v>2486</v>
      </c>
      <c r="E339" s="33" t="s">
        <v>2487</v>
      </c>
      <c r="F339" s="33" t="s">
        <v>416</v>
      </c>
      <c r="G339" s="33" t="s">
        <v>1543</v>
      </c>
      <c r="H339" s="34" t="s">
        <v>2488</v>
      </c>
    </row>
    <row r="340" customFormat="false" ht="18.75" hidden="false" customHeight="true" outlineLevel="0" collapsed="false">
      <c r="A340" s="29" t="s">
        <v>13</v>
      </c>
      <c r="B340" s="30" t="n">
        <v>2024</v>
      </c>
      <c r="C340" s="31" t="s">
        <v>1655</v>
      </c>
      <c r="D340" s="32" t="s">
        <v>2489</v>
      </c>
      <c r="E340" s="33" t="s">
        <v>2490</v>
      </c>
      <c r="F340" s="33" t="s">
        <v>1542</v>
      </c>
      <c r="G340" s="33" t="s">
        <v>1543</v>
      </c>
      <c r="H340" s="34" t="s">
        <v>2491</v>
      </c>
    </row>
    <row r="341" customFormat="false" ht="21.75" hidden="false" customHeight="true" outlineLevel="0" collapsed="false">
      <c r="A341" s="29" t="s">
        <v>13</v>
      </c>
      <c r="B341" s="30" t="n">
        <v>2024</v>
      </c>
      <c r="C341" s="31" t="s">
        <v>1655</v>
      </c>
      <c r="D341" s="32" t="s">
        <v>2492</v>
      </c>
      <c r="E341" s="33" t="s">
        <v>2493</v>
      </c>
      <c r="F341" s="33" t="s">
        <v>1027</v>
      </c>
      <c r="G341" s="33" t="s">
        <v>1543</v>
      </c>
      <c r="H341" s="34" t="s">
        <v>2494</v>
      </c>
    </row>
    <row r="342" customFormat="false" ht="21.75" hidden="false" customHeight="true" outlineLevel="0" collapsed="false">
      <c r="A342" s="29" t="s">
        <v>13</v>
      </c>
      <c r="B342" s="30" t="n">
        <v>2024</v>
      </c>
      <c r="C342" s="31" t="s">
        <v>1772</v>
      </c>
      <c r="D342" s="32" t="s">
        <v>2495</v>
      </c>
      <c r="E342" s="33" t="s">
        <v>2496</v>
      </c>
      <c r="F342" s="33" t="s">
        <v>1027</v>
      </c>
      <c r="G342" s="33" t="s">
        <v>1543</v>
      </c>
      <c r="H342" s="34" t="s">
        <v>2497</v>
      </c>
    </row>
    <row r="343" customFormat="false" ht="21.75" hidden="false" customHeight="true" outlineLevel="0" collapsed="false">
      <c r="A343" s="29" t="s">
        <v>13</v>
      </c>
      <c r="B343" s="30" t="n">
        <v>2024</v>
      </c>
      <c r="C343" s="31" t="s">
        <v>1772</v>
      </c>
      <c r="D343" s="32" t="s">
        <v>2498</v>
      </c>
      <c r="E343" s="33" t="s">
        <v>2499</v>
      </c>
      <c r="F343" s="33" t="s">
        <v>416</v>
      </c>
      <c r="G343" s="33" t="s">
        <v>1543</v>
      </c>
      <c r="H343" s="34" t="s">
        <v>2500</v>
      </c>
    </row>
    <row r="344" customFormat="false" ht="21.75" hidden="false" customHeight="true" outlineLevel="0" collapsed="false">
      <c r="A344" s="29" t="s">
        <v>13</v>
      </c>
      <c r="B344" s="30" t="n">
        <v>2024</v>
      </c>
      <c r="C344" s="31" t="s">
        <v>1665</v>
      </c>
      <c r="D344" s="32" t="s">
        <v>2501</v>
      </c>
      <c r="E344" s="33" t="s">
        <v>2502</v>
      </c>
      <c r="F344" s="33" t="s">
        <v>1027</v>
      </c>
      <c r="G344" s="33" t="s">
        <v>1543</v>
      </c>
      <c r="H344" s="34" t="s">
        <v>2503</v>
      </c>
    </row>
    <row r="345" customFormat="false" ht="21.75" hidden="false" customHeight="true" outlineLevel="0" collapsed="false">
      <c r="A345" s="29" t="s">
        <v>13</v>
      </c>
      <c r="B345" s="30" t="n">
        <v>2024</v>
      </c>
      <c r="C345" s="31" t="s">
        <v>1665</v>
      </c>
      <c r="D345" s="32" t="s">
        <v>2504</v>
      </c>
      <c r="E345" s="33" t="s">
        <v>2505</v>
      </c>
      <c r="F345" s="33" t="s">
        <v>416</v>
      </c>
      <c r="G345" s="33" t="s">
        <v>2228</v>
      </c>
      <c r="H345" s="34" t="s">
        <v>2506</v>
      </c>
    </row>
    <row r="346" customFormat="false" ht="21.75" hidden="false" customHeight="true" outlineLevel="0" collapsed="false">
      <c r="A346" s="29" t="s">
        <v>13</v>
      </c>
      <c r="B346" s="30" t="n">
        <v>2024</v>
      </c>
      <c r="C346" s="31" t="s">
        <v>1678</v>
      </c>
      <c r="D346" s="32" t="s">
        <v>2507</v>
      </c>
      <c r="E346" s="33" t="s">
        <v>2508</v>
      </c>
      <c r="F346" s="33" t="s">
        <v>416</v>
      </c>
      <c r="G346" s="33" t="s">
        <v>1543</v>
      </c>
      <c r="H346" s="34" t="s">
        <v>2509</v>
      </c>
    </row>
    <row r="347" customFormat="false" ht="15" hidden="false" customHeight="true" outlineLevel="0" collapsed="false">
      <c r="A347" s="29" t="s">
        <v>13</v>
      </c>
      <c r="B347" s="30" t="n">
        <v>2024</v>
      </c>
      <c r="C347" s="31" t="s">
        <v>1678</v>
      </c>
      <c r="D347" s="32" t="s">
        <v>2510</v>
      </c>
      <c r="E347" s="33" t="s">
        <v>2511</v>
      </c>
      <c r="F347" s="33" t="s">
        <v>1027</v>
      </c>
      <c r="G347" s="33" t="s">
        <v>1543</v>
      </c>
      <c r="H347" s="34" t="s">
        <v>2512</v>
      </c>
    </row>
    <row r="348" customFormat="false" ht="15" hidden="false" customHeight="true" outlineLevel="0" collapsed="false">
      <c r="A348" s="29" t="s">
        <v>13</v>
      </c>
      <c r="B348" s="30" t="n">
        <v>2024</v>
      </c>
      <c r="C348" s="31" t="s">
        <v>1678</v>
      </c>
      <c r="D348" s="32" t="s">
        <v>2513</v>
      </c>
      <c r="E348" s="33" t="s">
        <v>2514</v>
      </c>
      <c r="F348" s="33" t="s">
        <v>456</v>
      </c>
      <c r="G348" s="33" t="s">
        <v>1543</v>
      </c>
      <c r="H348" s="34" t="s">
        <v>313</v>
      </c>
    </row>
    <row r="349" customFormat="false" ht="21.75" hidden="false" customHeight="true" outlineLevel="0" collapsed="false">
      <c r="A349" s="29" t="s">
        <v>13</v>
      </c>
      <c r="B349" s="30" t="n">
        <v>2024</v>
      </c>
      <c r="C349" s="31" t="s">
        <v>1678</v>
      </c>
      <c r="D349" s="32" t="s">
        <v>2515</v>
      </c>
      <c r="E349" s="33" t="s">
        <v>2516</v>
      </c>
      <c r="F349" s="33" t="s">
        <v>2014</v>
      </c>
      <c r="G349" s="33" t="s">
        <v>1543</v>
      </c>
      <c r="H349" s="34" t="s">
        <v>307</v>
      </c>
    </row>
    <row r="350" customFormat="false" ht="18.75" hidden="false" customHeight="true" outlineLevel="0" collapsed="false">
      <c r="A350" s="29" t="s">
        <v>13</v>
      </c>
      <c r="B350" s="30" t="n">
        <v>2024</v>
      </c>
      <c r="C350" s="31" t="s">
        <v>1573</v>
      </c>
      <c r="D350" s="32" t="s">
        <v>2517</v>
      </c>
      <c r="E350" s="33" t="s">
        <v>2518</v>
      </c>
      <c r="F350" s="33" t="s">
        <v>416</v>
      </c>
      <c r="G350" s="33" t="s">
        <v>1543</v>
      </c>
      <c r="H350" s="34" t="s">
        <v>2519</v>
      </c>
    </row>
    <row r="351" customFormat="false" ht="15" hidden="false" customHeight="true" outlineLevel="0" collapsed="false">
      <c r="A351" s="29" t="s">
        <v>13</v>
      </c>
      <c r="B351" s="30" t="n">
        <v>2024</v>
      </c>
      <c r="C351" s="31" t="s">
        <v>1581</v>
      </c>
      <c r="D351" s="32" t="s">
        <v>2520</v>
      </c>
      <c r="E351" s="33" t="s">
        <v>2521</v>
      </c>
      <c r="F351" s="33" t="s">
        <v>1542</v>
      </c>
      <c r="G351" s="33" t="s">
        <v>1543</v>
      </c>
      <c r="H351" s="34" t="s">
        <v>318</v>
      </c>
    </row>
    <row r="352" customFormat="false" ht="21.75" hidden="false" customHeight="true" outlineLevel="0" collapsed="false">
      <c r="A352" s="29" t="s">
        <v>13</v>
      </c>
      <c r="B352" s="30" t="n">
        <v>2024</v>
      </c>
      <c r="C352" s="31" t="s">
        <v>1539</v>
      </c>
      <c r="D352" s="32" t="s">
        <v>2522</v>
      </c>
      <c r="E352" s="33" t="s">
        <v>2523</v>
      </c>
      <c r="F352" s="33" t="s">
        <v>1027</v>
      </c>
      <c r="G352" s="33" t="s">
        <v>1543</v>
      </c>
      <c r="H352" s="34" t="s">
        <v>2524</v>
      </c>
    </row>
    <row r="353" customFormat="false" ht="21.75" hidden="false" customHeight="true" outlineLevel="0" collapsed="false">
      <c r="A353" s="29" t="s">
        <v>13</v>
      </c>
      <c r="B353" s="30" t="n">
        <v>2024</v>
      </c>
      <c r="C353" s="31" t="s">
        <v>1539</v>
      </c>
      <c r="D353" s="32" t="s">
        <v>2525</v>
      </c>
      <c r="E353" s="33" t="s">
        <v>2526</v>
      </c>
      <c r="F353" s="33" t="s">
        <v>326</v>
      </c>
      <c r="G353" s="33" t="s">
        <v>1543</v>
      </c>
      <c r="H353" s="34" t="s">
        <v>2527</v>
      </c>
    </row>
    <row r="354" customFormat="false" ht="21.75" hidden="false" customHeight="true" outlineLevel="0" collapsed="false">
      <c r="A354" s="29" t="s">
        <v>13</v>
      </c>
      <c r="B354" s="30" t="n">
        <v>2025</v>
      </c>
      <c r="C354" s="31"/>
      <c r="D354" s="32"/>
      <c r="E354" s="33" t="s">
        <v>2528</v>
      </c>
      <c r="F354" s="33" t="s">
        <v>684</v>
      </c>
      <c r="G354" s="33" t="s">
        <v>1548</v>
      </c>
      <c r="H354" s="34" t="s">
        <v>2529</v>
      </c>
    </row>
    <row r="355" customFormat="false" ht="21.75" hidden="false" customHeight="true" outlineLevel="0" collapsed="false">
      <c r="A355" s="29" t="s">
        <v>13</v>
      </c>
      <c r="B355" s="30" t="n">
        <v>2025</v>
      </c>
      <c r="C355" s="31"/>
      <c r="D355" s="32"/>
      <c r="E355" s="33" t="s">
        <v>2530</v>
      </c>
      <c r="F355" s="33" t="s">
        <v>1542</v>
      </c>
      <c r="G355" s="33" t="s">
        <v>1548</v>
      </c>
      <c r="H355" s="34" t="s">
        <v>2531</v>
      </c>
    </row>
    <row r="356" customFormat="false" ht="21.75" hidden="false" customHeight="true" outlineLevel="0" collapsed="false">
      <c r="A356" s="29" t="s">
        <v>13</v>
      </c>
      <c r="B356" s="30" t="n">
        <v>2025</v>
      </c>
      <c r="C356" s="31"/>
      <c r="D356" s="32"/>
      <c r="E356" s="33" t="s">
        <v>2532</v>
      </c>
      <c r="F356" s="33" t="s">
        <v>416</v>
      </c>
      <c r="G356" s="33" t="s">
        <v>1548</v>
      </c>
      <c r="H356" s="34" t="s">
        <v>2533</v>
      </c>
    </row>
    <row r="357" customFormat="false" ht="21.75" hidden="false" customHeight="true" outlineLevel="0" collapsed="false">
      <c r="A357" s="29" t="s">
        <v>13</v>
      </c>
      <c r="B357" s="30" t="n">
        <v>2025</v>
      </c>
      <c r="C357" s="31"/>
      <c r="D357" s="32"/>
      <c r="E357" s="33" t="s">
        <v>2534</v>
      </c>
      <c r="F357" s="33" t="s">
        <v>1027</v>
      </c>
      <c r="G357" s="33" t="s">
        <v>1548</v>
      </c>
      <c r="H357" s="34" t="s">
        <v>2535</v>
      </c>
    </row>
    <row r="358" customFormat="false" ht="18.75" hidden="false" customHeight="true" outlineLevel="0" collapsed="false">
      <c r="A358" s="29" t="s">
        <v>13</v>
      </c>
      <c r="B358" s="30" t="n">
        <v>2025</v>
      </c>
      <c r="C358" s="31" t="s">
        <v>1618</v>
      </c>
      <c r="D358" s="32" t="s">
        <v>2536</v>
      </c>
      <c r="E358" s="33" t="s">
        <v>2537</v>
      </c>
      <c r="F358" s="33" t="s">
        <v>2340</v>
      </c>
      <c r="G358" s="33" t="s">
        <v>1543</v>
      </c>
      <c r="H358" s="34" t="s">
        <v>2538</v>
      </c>
    </row>
    <row r="359" customFormat="false" ht="21.75" hidden="false" customHeight="true" outlineLevel="0" collapsed="false">
      <c r="A359" s="29" t="s">
        <v>13</v>
      </c>
      <c r="B359" s="30" t="n">
        <v>2025</v>
      </c>
      <c r="C359" s="31" t="s">
        <v>1636</v>
      </c>
      <c r="D359" s="32" t="s">
        <v>2539</v>
      </c>
      <c r="E359" s="33" t="s">
        <v>2540</v>
      </c>
      <c r="F359" s="33" t="s">
        <v>1027</v>
      </c>
      <c r="G359" s="33" t="s">
        <v>1543</v>
      </c>
      <c r="H359" s="34" t="s">
        <v>2541</v>
      </c>
    </row>
    <row r="360" customFormat="false" ht="15" hidden="false" customHeight="true" outlineLevel="0" collapsed="false">
      <c r="A360" s="29" t="s">
        <v>13</v>
      </c>
      <c r="B360" s="30" t="n">
        <v>2025</v>
      </c>
      <c r="C360" s="31" t="s">
        <v>1655</v>
      </c>
      <c r="D360" s="32" t="s">
        <v>2542</v>
      </c>
      <c r="E360" s="33" t="s">
        <v>2543</v>
      </c>
      <c r="F360" s="33" t="s">
        <v>416</v>
      </c>
      <c r="G360" s="33" t="s">
        <v>1543</v>
      </c>
      <c r="H360" s="34" t="s">
        <v>394</v>
      </c>
    </row>
    <row r="361" customFormat="false" ht="21.75" hidden="false" customHeight="true" outlineLevel="0" collapsed="false">
      <c r="A361" s="29" t="s">
        <v>13</v>
      </c>
      <c r="B361" s="30" t="n">
        <v>2025</v>
      </c>
      <c r="C361" s="31" t="s">
        <v>1772</v>
      </c>
      <c r="D361" s="32" t="s">
        <v>2544</v>
      </c>
      <c r="E361" s="33" t="s">
        <v>2545</v>
      </c>
      <c r="F361" s="33" t="s">
        <v>1027</v>
      </c>
      <c r="G361" s="33" t="s">
        <v>1543</v>
      </c>
      <c r="H361" s="34" t="s">
        <v>2546</v>
      </c>
    </row>
    <row r="362" customFormat="false" ht="18.75" hidden="false" customHeight="true" outlineLevel="0" collapsed="false">
      <c r="A362" s="29" t="s">
        <v>13</v>
      </c>
      <c r="B362" s="30" t="n">
        <v>2025</v>
      </c>
      <c r="C362" s="31" t="s">
        <v>1665</v>
      </c>
      <c r="D362" s="32" t="s">
        <v>2547</v>
      </c>
      <c r="E362" s="33" t="s">
        <v>2548</v>
      </c>
      <c r="F362" s="33" t="s">
        <v>416</v>
      </c>
      <c r="G362" s="33" t="s">
        <v>1543</v>
      </c>
      <c r="H362" s="34" t="s">
        <v>2549</v>
      </c>
    </row>
    <row r="363" customFormat="false" ht="15" hidden="false" customHeight="true" outlineLevel="0" collapsed="false">
      <c r="A363" s="29" t="s">
        <v>13</v>
      </c>
      <c r="B363" s="30" t="n">
        <v>2025</v>
      </c>
      <c r="C363" s="31" t="s">
        <v>1678</v>
      </c>
      <c r="D363" s="32" t="s">
        <v>2550</v>
      </c>
      <c r="E363" s="33" t="s">
        <v>2551</v>
      </c>
      <c r="F363" s="33" t="s">
        <v>416</v>
      </c>
      <c r="G363" s="33" t="s">
        <v>1543</v>
      </c>
      <c r="H363" s="34" t="s">
        <v>295</v>
      </c>
    </row>
    <row r="364" customFormat="false" ht="15" hidden="false" customHeight="true" outlineLevel="0" collapsed="false">
      <c r="A364" s="29" t="s">
        <v>13</v>
      </c>
      <c r="B364" s="30" t="n">
        <v>2025</v>
      </c>
      <c r="C364" s="31" t="s">
        <v>1573</v>
      </c>
      <c r="D364" s="32" t="s">
        <v>2552</v>
      </c>
      <c r="E364" s="33" t="s">
        <v>2553</v>
      </c>
      <c r="F364" s="33" t="s">
        <v>416</v>
      </c>
      <c r="G364" s="33" t="s">
        <v>1543</v>
      </c>
      <c r="H364" s="34" t="s">
        <v>399</v>
      </c>
    </row>
    <row r="365" customFormat="false" ht="21.75" hidden="false" customHeight="true" outlineLevel="0" collapsed="false">
      <c r="A365" s="29" t="s">
        <v>13</v>
      </c>
      <c r="B365" s="30" t="n">
        <v>2025</v>
      </c>
      <c r="C365" s="31" t="s">
        <v>1573</v>
      </c>
      <c r="D365" s="32" t="s">
        <v>2554</v>
      </c>
      <c r="E365" s="33" t="s">
        <v>2555</v>
      </c>
      <c r="F365" s="33" t="s">
        <v>1027</v>
      </c>
      <c r="G365" s="33" t="s">
        <v>1543</v>
      </c>
      <c r="H365" s="34" t="s">
        <v>404</v>
      </c>
    </row>
    <row r="366" customFormat="false" ht="15" hidden="false" customHeight="true" outlineLevel="0" collapsed="false">
      <c r="A366" s="29" t="s">
        <v>13</v>
      </c>
      <c r="B366" s="30" t="n">
        <v>2025</v>
      </c>
      <c r="C366" s="31" t="s">
        <v>1557</v>
      </c>
      <c r="D366" s="32" t="s">
        <v>2556</v>
      </c>
      <c r="E366" s="33" t="s">
        <v>2557</v>
      </c>
      <c r="F366" s="33" t="s">
        <v>1027</v>
      </c>
      <c r="G366" s="33" t="s">
        <v>1543</v>
      </c>
      <c r="H366" s="34" t="s">
        <v>2558</v>
      </c>
    </row>
    <row r="367" customFormat="false" ht="21.75" hidden="false" customHeight="true" outlineLevel="0" collapsed="false">
      <c r="A367" s="29" t="s">
        <v>13</v>
      </c>
      <c r="B367" s="30" t="n">
        <v>2025</v>
      </c>
      <c r="C367" s="31" t="s">
        <v>1539</v>
      </c>
      <c r="D367" s="32" t="s">
        <v>2559</v>
      </c>
      <c r="E367" s="33" t="s">
        <v>2560</v>
      </c>
      <c r="F367" s="33" t="s">
        <v>416</v>
      </c>
      <c r="G367" s="33" t="s">
        <v>2228</v>
      </c>
      <c r="H367" s="34" t="s">
        <v>2561</v>
      </c>
    </row>
    <row r="368" customFormat="false" ht="21.75" hidden="false" customHeight="true" outlineLevel="0" collapsed="false">
      <c r="A368" s="29" t="s">
        <v>13</v>
      </c>
      <c r="B368" s="30" t="n">
        <v>2026</v>
      </c>
      <c r="C368" s="31"/>
      <c r="D368" s="32"/>
      <c r="E368" s="33" t="s">
        <v>2562</v>
      </c>
      <c r="F368" s="33" t="s">
        <v>1027</v>
      </c>
      <c r="G368" s="33" t="s">
        <v>1548</v>
      </c>
      <c r="H368" s="34" t="s">
        <v>2563</v>
      </c>
    </row>
    <row r="369" customFormat="false" ht="21.75" hidden="false" customHeight="true" outlineLevel="0" collapsed="false">
      <c r="A369" s="29" t="s">
        <v>13</v>
      </c>
      <c r="B369" s="30" t="n">
        <v>2026</v>
      </c>
      <c r="C369" s="31" t="s">
        <v>1618</v>
      </c>
      <c r="D369" s="32" t="s">
        <v>2160</v>
      </c>
      <c r="E369" s="33" t="s">
        <v>2564</v>
      </c>
      <c r="F369" s="33" t="s">
        <v>416</v>
      </c>
      <c r="G369" s="33" t="s">
        <v>1543</v>
      </c>
      <c r="H369" s="34" t="s">
        <v>289</v>
      </c>
    </row>
    <row r="370" customFormat="false" ht="18.75" hidden="false" customHeight="true" outlineLevel="0" collapsed="false">
      <c r="A370" s="29" t="s">
        <v>13</v>
      </c>
      <c r="B370" s="30" t="n">
        <v>2026</v>
      </c>
      <c r="C370" s="31" t="s">
        <v>1636</v>
      </c>
      <c r="D370" s="32" t="s">
        <v>2565</v>
      </c>
      <c r="E370" s="33" t="s">
        <v>2566</v>
      </c>
      <c r="F370" s="33" t="s">
        <v>1027</v>
      </c>
      <c r="G370" s="33" t="s">
        <v>1543</v>
      </c>
      <c r="H370" s="34" t="s">
        <v>2567</v>
      </c>
    </row>
    <row r="371" customFormat="false" ht="18.75" hidden="false" customHeight="true" outlineLevel="0" collapsed="false">
      <c r="A371" s="29" t="s">
        <v>13</v>
      </c>
      <c r="B371" s="30" t="n">
        <v>2026</v>
      </c>
      <c r="C371" s="31" t="s">
        <v>1636</v>
      </c>
      <c r="D371" s="32" t="s">
        <v>2568</v>
      </c>
      <c r="E371" s="33" t="s">
        <v>2569</v>
      </c>
      <c r="F371" s="33" t="s">
        <v>416</v>
      </c>
      <c r="G371" s="33" t="s">
        <v>1543</v>
      </c>
      <c r="H371" s="34" t="s">
        <v>2570</v>
      </c>
    </row>
    <row r="372" customFormat="false" ht="18.75" hidden="false" customHeight="true" outlineLevel="0" collapsed="false">
      <c r="A372" s="29" t="s">
        <v>13</v>
      </c>
      <c r="B372" s="30" t="n">
        <v>2026</v>
      </c>
      <c r="C372" s="31" t="s">
        <v>1550</v>
      </c>
      <c r="D372" s="32" t="s">
        <v>2571</v>
      </c>
      <c r="E372" s="33" t="s">
        <v>2572</v>
      </c>
      <c r="F372" s="33" t="s">
        <v>1027</v>
      </c>
      <c r="G372" s="33" t="s">
        <v>2228</v>
      </c>
      <c r="H372" s="34" t="s">
        <v>2573</v>
      </c>
    </row>
    <row r="373" customFormat="false" ht="18.75" hidden="false" customHeight="true" outlineLevel="0" collapsed="false">
      <c r="A373" s="29" t="s">
        <v>13</v>
      </c>
      <c r="B373" s="30" t="n">
        <v>2026</v>
      </c>
      <c r="C373" s="31" t="s">
        <v>1550</v>
      </c>
      <c r="D373" s="32" t="s">
        <v>2574</v>
      </c>
      <c r="E373" s="33" t="s">
        <v>2575</v>
      </c>
      <c r="F373" s="33" t="s">
        <v>1027</v>
      </c>
      <c r="G373" s="33" t="s">
        <v>1543</v>
      </c>
      <c r="H373" s="34" t="s">
        <v>323</v>
      </c>
    </row>
    <row r="374" customFormat="false" ht="15" hidden="false" customHeight="true" outlineLevel="0" collapsed="false">
      <c r="A374" s="29" t="s">
        <v>13</v>
      </c>
      <c r="B374" s="30" t="n">
        <v>2026</v>
      </c>
      <c r="C374" s="31" t="s">
        <v>1665</v>
      </c>
      <c r="D374" s="32" t="s">
        <v>2576</v>
      </c>
      <c r="E374" s="33" t="s">
        <v>2577</v>
      </c>
      <c r="F374" s="33" t="s">
        <v>1542</v>
      </c>
      <c r="G374" s="33" t="s">
        <v>2228</v>
      </c>
      <c r="H374" s="34" t="s">
        <v>2578</v>
      </c>
    </row>
    <row r="375" customFormat="false" ht="21.75" hidden="false" customHeight="true" outlineLevel="0" collapsed="false">
      <c r="A375" s="29" t="s">
        <v>48</v>
      </c>
      <c r="B375" s="30" t="n">
        <v>2021</v>
      </c>
      <c r="C375" s="31"/>
      <c r="D375" s="32"/>
      <c r="E375" s="33" t="s">
        <v>2579</v>
      </c>
      <c r="F375" s="33" t="s">
        <v>1542</v>
      </c>
      <c r="G375" s="33" t="s">
        <v>1548</v>
      </c>
      <c r="H375" s="34" t="s">
        <v>2580</v>
      </c>
    </row>
    <row r="376" customFormat="false" ht="15" hidden="false" customHeight="true" outlineLevel="0" collapsed="false">
      <c r="A376" s="29" t="s">
        <v>25</v>
      </c>
      <c r="B376" s="30" t="n">
        <v>2023</v>
      </c>
      <c r="C376" s="31" t="s">
        <v>1678</v>
      </c>
      <c r="D376" s="32" t="s">
        <v>2581</v>
      </c>
      <c r="E376" s="33" t="s">
        <v>2582</v>
      </c>
      <c r="F376" s="33" t="s">
        <v>1542</v>
      </c>
      <c r="G376" s="33" t="s">
        <v>1543</v>
      </c>
      <c r="H376" s="34" t="s">
        <v>2583</v>
      </c>
    </row>
    <row r="377" customFormat="false" ht="15" hidden="false" customHeight="true" outlineLevel="0" collapsed="false">
      <c r="A377" s="29" t="s">
        <v>25</v>
      </c>
      <c r="B377" s="30" t="n">
        <v>2023</v>
      </c>
      <c r="C377" s="31" t="s">
        <v>1581</v>
      </c>
      <c r="D377" s="32" t="s">
        <v>2353</v>
      </c>
      <c r="E377" s="33" t="s">
        <v>2584</v>
      </c>
      <c r="F377" s="33" t="s">
        <v>1542</v>
      </c>
      <c r="G377" s="33" t="s">
        <v>1543</v>
      </c>
      <c r="H377" s="34" t="s">
        <v>2585</v>
      </c>
    </row>
    <row r="378" customFormat="false" ht="15" hidden="false" customHeight="true" outlineLevel="0" collapsed="false">
      <c r="A378" s="29" t="s">
        <v>25</v>
      </c>
      <c r="B378" s="30" t="n">
        <v>2024</v>
      </c>
      <c r="C378" s="31" t="s">
        <v>1573</v>
      </c>
      <c r="D378" s="32" t="s">
        <v>2586</v>
      </c>
      <c r="E378" s="33" t="s">
        <v>2587</v>
      </c>
      <c r="F378" s="33" t="s">
        <v>1542</v>
      </c>
      <c r="G378" s="33" t="s">
        <v>1543</v>
      </c>
      <c r="H378" s="34" t="s">
        <v>2588</v>
      </c>
    </row>
    <row r="379" customFormat="false" ht="15" hidden="false" customHeight="true" outlineLevel="0" collapsed="false">
      <c r="A379" s="29" t="s">
        <v>25</v>
      </c>
      <c r="B379" s="30" t="n">
        <v>2024</v>
      </c>
      <c r="C379" s="31" t="s">
        <v>1539</v>
      </c>
      <c r="D379" s="32" t="s">
        <v>1986</v>
      </c>
      <c r="E379" s="33" t="s">
        <v>2589</v>
      </c>
      <c r="F379" s="33" t="s">
        <v>1542</v>
      </c>
      <c r="G379" s="33" t="s">
        <v>1543</v>
      </c>
      <c r="H379" s="34" t="s">
        <v>2590</v>
      </c>
    </row>
    <row r="380" customFormat="false" ht="15" hidden="false" customHeight="true" outlineLevel="0" collapsed="false">
      <c r="A380" s="29" t="s">
        <v>25</v>
      </c>
      <c r="B380" s="30" t="n">
        <v>2025</v>
      </c>
      <c r="C380" s="31" t="s">
        <v>1629</v>
      </c>
      <c r="D380" s="32" t="s">
        <v>2001</v>
      </c>
      <c r="E380" s="33" t="s">
        <v>2591</v>
      </c>
      <c r="F380" s="33" t="s">
        <v>1542</v>
      </c>
      <c r="G380" s="33" t="s">
        <v>1543</v>
      </c>
      <c r="H380" s="34" t="s">
        <v>2592</v>
      </c>
    </row>
    <row r="381" customFormat="false" ht="15" hidden="false" customHeight="true" outlineLevel="0" collapsed="false">
      <c r="A381" s="29" t="s">
        <v>25</v>
      </c>
      <c r="B381" s="30" t="n">
        <v>2025</v>
      </c>
      <c r="C381" s="31" t="s">
        <v>1629</v>
      </c>
      <c r="D381" s="32" t="s">
        <v>2001</v>
      </c>
      <c r="E381" s="33" t="s">
        <v>2593</v>
      </c>
      <c r="F381" s="33" t="s">
        <v>1542</v>
      </c>
      <c r="G381" s="33" t="s">
        <v>1543</v>
      </c>
      <c r="H381" s="34" t="s">
        <v>2594</v>
      </c>
    </row>
    <row r="382" customFormat="false" ht="15" hidden="false" customHeight="true" outlineLevel="0" collapsed="false">
      <c r="A382" s="29" t="s">
        <v>25</v>
      </c>
      <c r="B382" s="30" t="n">
        <v>2026</v>
      </c>
      <c r="C382" s="31" t="s">
        <v>1665</v>
      </c>
      <c r="D382" s="32" t="s">
        <v>2595</v>
      </c>
      <c r="E382" s="33" t="s">
        <v>848</v>
      </c>
      <c r="F382" s="33" t="s">
        <v>1542</v>
      </c>
      <c r="G382" s="33" t="s">
        <v>1543</v>
      </c>
      <c r="H382" s="34" t="s">
        <v>2596</v>
      </c>
    </row>
    <row r="383" customFormat="false" ht="21.75" hidden="false" customHeight="true" outlineLevel="0" collapsed="false">
      <c r="A383" s="29" t="s">
        <v>7</v>
      </c>
      <c r="B383" s="30" t="n">
        <v>2022</v>
      </c>
      <c r="C383" s="31"/>
      <c r="D383" s="32"/>
      <c r="E383" s="33" t="s">
        <v>2597</v>
      </c>
      <c r="F383" s="33" t="s">
        <v>456</v>
      </c>
      <c r="G383" s="33" t="s">
        <v>1548</v>
      </c>
      <c r="H383" s="34" t="s">
        <v>2598</v>
      </c>
    </row>
    <row r="384" customFormat="false" ht="18.75" hidden="false" customHeight="true" outlineLevel="0" collapsed="false">
      <c r="A384" s="29" t="s">
        <v>7</v>
      </c>
      <c r="B384" s="30" t="n">
        <v>2023</v>
      </c>
      <c r="C384" s="31" t="s">
        <v>1636</v>
      </c>
      <c r="D384" s="32" t="s">
        <v>2599</v>
      </c>
      <c r="E384" s="33" t="s">
        <v>2600</v>
      </c>
      <c r="F384" s="33" t="s">
        <v>416</v>
      </c>
      <c r="G384" s="33" t="s">
        <v>1543</v>
      </c>
      <c r="H384" s="34" t="s">
        <v>2601</v>
      </c>
    </row>
    <row r="385" customFormat="false" ht="15" hidden="false" customHeight="true" outlineLevel="0" collapsed="false">
      <c r="A385" s="29" t="s">
        <v>7</v>
      </c>
      <c r="B385" s="30" t="n">
        <v>2023</v>
      </c>
      <c r="C385" s="31" t="s">
        <v>1772</v>
      </c>
      <c r="D385" s="32" t="s">
        <v>2602</v>
      </c>
      <c r="E385" s="33" t="s">
        <v>2603</v>
      </c>
      <c r="F385" s="33" t="s">
        <v>1027</v>
      </c>
      <c r="G385" s="33" t="s">
        <v>1543</v>
      </c>
      <c r="H385" s="34" t="s">
        <v>2604</v>
      </c>
    </row>
    <row r="386" customFormat="false" ht="15" hidden="false" customHeight="true" outlineLevel="0" collapsed="false">
      <c r="A386" s="29" t="s">
        <v>7</v>
      </c>
      <c r="B386" s="30" t="n">
        <v>2023</v>
      </c>
      <c r="C386" s="31" t="s">
        <v>1772</v>
      </c>
      <c r="D386" s="32" t="s">
        <v>2605</v>
      </c>
      <c r="E386" s="33" t="s">
        <v>2606</v>
      </c>
      <c r="F386" s="33" t="s">
        <v>416</v>
      </c>
      <c r="G386" s="33" t="s">
        <v>1543</v>
      </c>
      <c r="H386" s="34" t="s">
        <v>2607</v>
      </c>
    </row>
    <row r="387" customFormat="false" ht="21.75" hidden="false" customHeight="true" outlineLevel="0" collapsed="false">
      <c r="A387" s="29" t="s">
        <v>7</v>
      </c>
      <c r="B387" s="30" t="n">
        <v>2023</v>
      </c>
      <c r="C387" s="31" t="s">
        <v>1665</v>
      </c>
      <c r="D387" s="32" t="s">
        <v>2608</v>
      </c>
      <c r="E387" s="33" t="s">
        <v>2609</v>
      </c>
      <c r="F387" s="33" t="s">
        <v>731</v>
      </c>
      <c r="G387" s="33" t="s">
        <v>1543</v>
      </c>
      <c r="H387" s="34" t="s">
        <v>2610</v>
      </c>
    </row>
    <row r="388" customFormat="false" ht="15" hidden="false" customHeight="true" outlineLevel="0" collapsed="false">
      <c r="A388" s="29" t="s">
        <v>7</v>
      </c>
      <c r="B388" s="30" t="n">
        <v>2023</v>
      </c>
      <c r="C388" s="31" t="s">
        <v>1678</v>
      </c>
      <c r="D388" s="32" t="s">
        <v>2350</v>
      </c>
      <c r="E388" s="33" t="s">
        <v>2611</v>
      </c>
      <c r="F388" s="33" t="s">
        <v>1542</v>
      </c>
      <c r="G388" s="33" t="s">
        <v>1543</v>
      </c>
      <c r="H388" s="34" t="s">
        <v>2612</v>
      </c>
    </row>
    <row r="389" customFormat="false" ht="15" hidden="false" customHeight="true" outlineLevel="0" collapsed="false">
      <c r="A389" s="29" t="s">
        <v>7</v>
      </c>
      <c r="B389" s="30" t="n">
        <v>2023</v>
      </c>
      <c r="C389" s="31" t="s">
        <v>1573</v>
      </c>
      <c r="D389" s="32" t="s">
        <v>1594</v>
      </c>
      <c r="E389" s="33" t="s">
        <v>2613</v>
      </c>
      <c r="F389" s="33" t="s">
        <v>1542</v>
      </c>
      <c r="G389" s="33" t="s">
        <v>1543</v>
      </c>
      <c r="H389" s="34" t="s">
        <v>2614</v>
      </c>
    </row>
    <row r="390" customFormat="false" ht="15" hidden="false" customHeight="true" outlineLevel="0" collapsed="false">
      <c r="A390" s="29" t="s">
        <v>7</v>
      </c>
      <c r="B390" s="30" t="n">
        <v>2023</v>
      </c>
      <c r="C390" s="31" t="s">
        <v>1573</v>
      </c>
      <c r="D390" s="32" t="s">
        <v>2615</v>
      </c>
      <c r="E390" s="33" t="s">
        <v>2616</v>
      </c>
      <c r="F390" s="33" t="s">
        <v>1027</v>
      </c>
      <c r="G390" s="33" t="s">
        <v>1543</v>
      </c>
      <c r="H390" s="34" t="s">
        <v>2617</v>
      </c>
    </row>
    <row r="391" customFormat="false" ht="15" hidden="false" customHeight="true" outlineLevel="0" collapsed="false">
      <c r="A391" s="29" t="s">
        <v>7</v>
      </c>
      <c r="B391" s="30" t="n">
        <v>2023</v>
      </c>
      <c r="C391" s="31" t="s">
        <v>1573</v>
      </c>
      <c r="D391" s="32" t="s">
        <v>2618</v>
      </c>
      <c r="E391" s="33" t="s">
        <v>2619</v>
      </c>
      <c r="F391" s="33" t="s">
        <v>1542</v>
      </c>
      <c r="G391" s="33" t="s">
        <v>1543</v>
      </c>
      <c r="H391" s="34" t="s">
        <v>2620</v>
      </c>
    </row>
    <row r="392" customFormat="false" ht="15" hidden="false" customHeight="true" outlineLevel="0" collapsed="false">
      <c r="A392" s="29" t="s">
        <v>7</v>
      </c>
      <c r="B392" s="30" t="n">
        <v>2023</v>
      </c>
      <c r="C392" s="31" t="s">
        <v>1573</v>
      </c>
      <c r="D392" s="32" t="s">
        <v>2621</v>
      </c>
      <c r="E392" s="33" t="s">
        <v>2622</v>
      </c>
      <c r="F392" s="33" t="s">
        <v>1542</v>
      </c>
      <c r="G392" s="33" t="s">
        <v>1543</v>
      </c>
      <c r="H392" s="34" t="s">
        <v>2623</v>
      </c>
    </row>
    <row r="393" customFormat="false" ht="21.75" hidden="false" customHeight="true" outlineLevel="0" collapsed="false">
      <c r="A393" s="29" t="s">
        <v>7</v>
      </c>
      <c r="B393" s="30" t="n">
        <v>2023</v>
      </c>
      <c r="C393" s="31" t="s">
        <v>1573</v>
      </c>
      <c r="D393" s="32" t="s">
        <v>2621</v>
      </c>
      <c r="E393" s="33" t="s">
        <v>2624</v>
      </c>
      <c r="F393" s="33" t="s">
        <v>1542</v>
      </c>
      <c r="G393" s="33" t="s">
        <v>1543</v>
      </c>
      <c r="H393" s="34" t="s">
        <v>2625</v>
      </c>
    </row>
    <row r="394" customFormat="false" ht="27.75" hidden="false" customHeight="true" outlineLevel="0" collapsed="false">
      <c r="A394" s="29" t="s">
        <v>7</v>
      </c>
      <c r="B394" s="30" t="n">
        <v>2023</v>
      </c>
      <c r="C394" s="31" t="s">
        <v>1573</v>
      </c>
      <c r="D394" s="32" t="s">
        <v>2618</v>
      </c>
      <c r="E394" s="33" t="s">
        <v>2626</v>
      </c>
      <c r="F394" s="33" t="s">
        <v>684</v>
      </c>
      <c r="G394" s="33" t="s">
        <v>1543</v>
      </c>
      <c r="H394" s="34" t="s">
        <v>2627</v>
      </c>
    </row>
    <row r="395" customFormat="false" ht="15" hidden="false" customHeight="true" outlineLevel="0" collapsed="false">
      <c r="A395" s="29" t="s">
        <v>7</v>
      </c>
      <c r="B395" s="30" t="n">
        <v>2023</v>
      </c>
      <c r="C395" s="31" t="s">
        <v>1557</v>
      </c>
      <c r="D395" s="32" t="s">
        <v>2628</v>
      </c>
      <c r="E395" s="33" t="s">
        <v>2629</v>
      </c>
      <c r="F395" s="33" t="s">
        <v>2340</v>
      </c>
      <c r="G395" s="33" t="s">
        <v>1543</v>
      </c>
      <c r="H395" s="34" t="s">
        <v>2630</v>
      </c>
    </row>
    <row r="396" customFormat="false" ht="15" hidden="false" customHeight="true" outlineLevel="0" collapsed="false">
      <c r="A396" s="29" t="s">
        <v>7</v>
      </c>
      <c r="B396" s="30" t="n">
        <v>2023</v>
      </c>
      <c r="C396" s="31" t="s">
        <v>1557</v>
      </c>
      <c r="D396" s="32" t="s">
        <v>2469</v>
      </c>
      <c r="E396" s="33" t="s">
        <v>2631</v>
      </c>
      <c r="F396" s="33" t="s">
        <v>1542</v>
      </c>
      <c r="G396" s="33" t="s">
        <v>1543</v>
      </c>
      <c r="H396" s="34" t="s">
        <v>2632</v>
      </c>
    </row>
    <row r="397" customFormat="false" ht="15" hidden="false" customHeight="true" outlineLevel="0" collapsed="false">
      <c r="A397" s="29" t="s">
        <v>7</v>
      </c>
      <c r="B397" s="30" t="n">
        <v>2023</v>
      </c>
      <c r="C397" s="31" t="s">
        <v>1557</v>
      </c>
      <c r="D397" s="32" t="s">
        <v>2469</v>
      </c>
      <c r="E397" s="33" t="s">
        <v>2633</v>
      </c>
      <c r="F397" s="33" t="s">
        <v>1027</v>
      </c>
      <c r="G397" s="33" t="s">
        <v>1543</v>
      </c>
      <c r="H397" s="34" t="s">
        <v>2634</v>
      </c>
    </row>
    <row r="398" customFormat="false" ht="15" hidden="false" customHeight="true" outlineLevel="0" collapsed="false">
      <c r="A398" s="29" t="s">
        <v>7</v>
      </c>
      <c r="B398" s="30" t="n">
        <v>2023</v>
      </c>
      <c r="C398" s="31" t="s">
        <v>1557</v>
      </c>
      <c r="D398" s="32" t="s">
        <v>2635</v>
      </c>
      <c r="E398" s="33" t="s">
        <v>2636</v>
      </c>
      <c r="F398" s="33" t="s">
        <v>1542</v>
      </c>
      <c r="G398" s="33" t="s">
        <v>1543</v>
      </c>
      <c r="H398" s="34" t="s">
        <v>2637</v>
      </c>
    </row>
    <row r="399" customFormat="false" ht="15" hidden="false" customHeight="true" outlineLevel="0" collapsed="false">
      <c r="A399" s="29" t="s">
        <v>7</v>
      </c>
      <c r="B399" s="30" t="n">
        <v>2023</v>
      </c>
      <c r="C399" s="31" t="s">
        <v>1557</v>
      </c>
      <c r="D399" s="32" t="s">
        <v>2638</v>
      </c>
      <c r="E399" s="33" t="s">
        <v>2639</v>
      </c>
      <c r="F399" s="33" t="s">
        <v>2340</v>
      </c>
      <c r="G399" s="33" t="s">
        <v>1543</v>
      </c>
      <c r="H399" s="34" t="s">
        <v>2640</v>
      </c>
    </row>
    <row r="400" customFormat="false" ht="21.75" hidden="false" customHeight="true" outlineLevel="0" collapsed="false">
      <c r="A400" s="29" t="s">
        <v>7</v>
      </c>
      <c r="B400" s="30" t="n">
        <v>2023</v>
      </c>
      <c r="C400" s="31" t="s">
        <v>1581</v>
      </c>
      <c r="D400" s="32" t="s">
        <v>2641</v>
      </c>
      <c r="E400" s="33" t="s">
        <v>2642</v>
      </c>
      <c r="F400" s="33" t="s">
        <v>1542</v>
      </c>
      <c r="G400" s="33" t="s">
        <v>1543</v>
      </c>
      <c r="H400" s="34" t="s">
        <v>2643</v>
      </c>
    </row>
    <row r="401" customFormat="false" ht="15" hidden="false" customHeight="true" outlineLevel="0" collapsed="false">
      <c r="A401" s="29" t="s">
        <v>7</v>
      </c>
      <c r="B401" s="30" t="n">
        <v>2023</v>
      </c>
      <c r="C401" s="31" t="s">
        <v>1581</v>
      </c>
      <c r="D401" s="32" t="s">
        <v>1875</v>
      </c>
      <c r="E401" s="33" t="s">
        <v>2644</v>
      </c>
      <c r="F401" s="33" t="s">
        <v>660</v>
      </c>
      <c r="G401" s="33" t="s">
        <v>1543</v>
      </c>
      <c r="H401" s="34" t="s">
        <v>2645</v>
      </c>
    </row>
    <row r="402" customFormat="false" ht="15" hidden="false" customHeight="true" outlineLevel="0" collapsed="false">
      <c r="A402" s="29" t="s">
        <v>7</v>
      </c>
      <c r="B402" s="30" t="n">
        <v>2023</v>
      </c>
      <c r="C402" s="31" t="s">
        <v>1539</v>
      </c>
      <c r="D402" s="32" t="s">
        <v>2646</v>
      </c>
      <c r="E402" s="33" t="s">
        <v>2647</v>
      </c>
      <c r="F402" s="33" t="s">
        <v>2014</v>
      </c>
      <c r="G402" s="33" t="s">
        <v>1543</v>
      </c>
      <c r="H402" s="34" t="s">
        <v>2648</v>
      </c>
    </row>
    <row r="403" customFormat="false" ht="18.75" hidden="false" customHeight="true" outlineLevel="0" collapsed="false">
      <c r="A403" s="29" t="s">
        <v>7</v>
      </c>
      <c r="B403" s="30" t="n">
        <v>2023</v>
      </c>
      <c r="C403" s="31" t="s">
        <v>1539</v>
      </c>
      <c r="D403" s="32" t="s">
        <v>2649</v>
      </c>
      <c r="E403" s="33" t="s">
        <v>2650</v>
      </c>
      <c r="F403" s="33" t="s">
        <v>326</v>
      </c>
      <c r="G403" s="33" t="s">
        <v>1543</v>
      </c>
      <c r="H403" s="34" t="s">
        <v>520</v>
      </c>
    </row>
    <row r="404" customFormat="false" ht="15" hidden="false" customHeight="true" outlineLevel="0" collapsed="false">
      <c r="A404" s="29" t="s">
        <v>7</v>
      </c>
      <c r="B404" s="30" t="n">
        <v>2023</v>
      </c>
      <c r="C404" s="31" t="s">
        <v>1539</v>
      </c>
      <c r="D404" s="32" t="s">
        <v>2651</v>
      </c>
      <c r="E404" s="33" t="s">
        <v>2652</v>
      </c>
      <c r="F404" s="33" t="s">
        <v>1542</v>
      </c>
      <c r="G404" s="33" t="s">
        <v>1543</v>
      </c>
      <c r="H404" s="34" t="s">
        <v>2653</v>
      </c>
    </row>
    <row r="405" customFormat="false" ht="15" hidden="false" customHeight="true" outlineLevel="0" collapsed="false">
      <c r="A405" s="29" t="s">
        <v>7</v>
      </c>
      <c r="B405" s="30" t="n">
        <v>2024</v>
      </c>
      <c r="C405" s="31" t="s">
        <v>1618</v>
      </c>
      <c r="D405" s="32" t="s">
        <v>1914</v>
      </c>
      <c r="E405" s="33" t="s">
        <v>2654</v>
      </c>
      <c r="F405" s="33" t="s">
        <v>2340</v>
      </c>
      <c r="G405" s="33" t="s">
        <v>1543</v>
      </c>
      <c r="H405" s="34" t="s">
        <v>2655</v>
      </c>
    </row>
    <row r="406" customFormat="false" ht="15" hidden="false" customHeight="true" outlineLevel="0" collapsed="false">
      <c r="A406" s="29" t="s">
        <v>7</v>
      </c>
      <c r="B406" s="30" t="n">
        <v>2024</v>
      </c>
      <c r="C406" s="31" t="s">
        <v>1618</v>
      </c>
      <c r="D406" s="32" t="s">
        <v>2656</v>
      </c>
      <c r="E406" s="33" t="s">
        <v>2657</v>
      </c>
      <c r="F406" s="33" t="s">
        <v>660</v>
      </c>
      <c r="G406" s="33" t="s">
        <v>1543</v>
      </c>
      <c r="H406" s="34" t="s">
        <v>2658</v>
      </c>
    </row>
    <row r="407" customFormat="false" ht="18.75" hidden="false" customHeight="true" outlineLevel="0" collapsed="false">
      <c r="A407" s="29" t="s">
        <v>7</v>
      </c>
      <c r="B407" s="30" t="n">
        <v>2024</v>
      </c>
      <c r="C407" s="31" t="s">
        <v>1618</v>
      </c>
      <c r="D407" s="32" t="s">
        <v>2659</v>
      </c>
      <c r="E407" s="33" t="s">
        <v>2660</v>
      </c>
      <c r="F407" s="33" t="s">
        <v>1542</v>
      </c>
      <c r="G407" s="33" t="s">
        <v>1543</v>
      </c>
      <c r="H407" s="34" t="s">
        <v>2661</v>
      </c>
    </row>
    <row r="408" customFormat="false" ht="15" hidden="false" customHeight="true" outlineLevel="0" collapsed="false">
      <c r="A408" s="29" t="s">
        <v>7</v>
      </c>
      <c r="B408" s="30" t="n">
        <v>2024</v>
      </c>
      <c r="C408" s="31" t="s">
        <v>1618</v>
      </c>
      <c r="D408" s="32" t="s">
        <v>1911</v>
      </c>
      <c r="E408" s="33" t="s">
        <v>2662</v>
      </c>
      <c r="F408" s="33" t="s">
        <v>1542</v>
      </c>
      <c r="G408" s="33" t="s">
        <v>1543</v>
      </c>
      <c r="H408" s="34" t="s">
        <v>2663</v>
      </c>
    </row>
    <row r="409" customFormat="false" ht="15" hidden="false" customHeight="true" outlineLevel="0" collapsed="false">
      <c r="A409" s="29" t="s">
        <v>7</v>
      </c>
      <c r="B409" s="30" t="n">
        <v>2024</v>
      </c>
      <c r="C409" s="31" t="s">
        <v>1618</v>
      </c>
      <c r="D409" s="32" t="s">
        <v>2656</v>
      </c>
      <c r="E409" s="33" t="s">
        <v>2664</v>
      </c>
      <c r="F409" s="33" t="s">
        <v>1542</v>
      </c>
      <c r="G409" s="33" t="s">
        <v>1543</v>
      </c>
      <c r="H409" s="34" t="s">
        <v>2665</v>
      </c>
    </row>
    <row r="410" customFormat="false" ht="18.75" hidden="false" customHeight="true" outlineLevel="0" collapsed="false">
      <c r="A410" s="29" t="s">
        <v>7</v>
      </c>
      <c r="B410" s="30" t="n">
        <v>2024</v>
      </c>
      <c r="C410" s="31" t="s">
        <v>1629</v>
      </c>
      <c r="D410" s="32" t="s">
        <v>2476</v>
      </c>
      <c r="E410" s="33" t="s">
        <v>2666</v>
      </c>
      <c r="F410" s="33" t="s">
        <v>416</v>
      </c>
      <c r="G410" s="33" t="s">
        <v>1543</v>
      </c>
      <c r="H410" s="34" t="s">
        <v>2667</v>
      </c>
    </row>
    <row r="411" customFormat="false" ht="15" hidden="false" customHeight="true" outlineLevel="0" collapsed="false">
      <c r="A411" s="29" t="s">
        <v>7</v>
      </c>
      <c r="B411" s="30" t="n">
        <v>2024</v>
      </c>
      <c r="C411" s="31" t="s">
        <v>1629</v>
      </c>
      <c r="D411" s="32" t="s">
        <v>2668</v>
      </c>
      <c r="E411" s="33" t="s">
        <v>2669</v>
      </c>
      <c r="F411" s="33" t="s">
        <v>416</v>
      </c>
      <c r="G411" s="33" t="s">
        <v>1543</v>
      </c>
      <c r="H411" s="34" t="s">
        <v>2670</v>
      </c>
    </row>
    <row r="412" customFormat="false" ht="15" hidden="false" customHeight="true" outlineLevel="0" collapsed="false">
      <c r="A412" s="29" t="s">
        <v>7</v>
      </c>
      <c r="B412" s="30" t="n">
        <v>2024</v>
      </c>
      <c r="C412" s="31" t="s">
        <v>1629</v>
      </c>
      <c r="D412" s="32" t="s">
        <v>1938</v>
      </c>
      <c r="E412" s="33" t="s">
        <v>2671</v>
      </c>
      <c r="F412" s="33" t="s">
        <v>416</v>
      </c>
      <c r="G412" s="33" t="s">
        <v>1543</v>
      </c>
      <c r="H412" s="34" t="s">
        <v>2672</v>
      </c>
    </row>
    <row r="413" customFormat="false" ht="21.75" hidden="false" customHeight="true" outlineLevel="0" collapsed="false">
      <c r="A413" s="29" t="s">
        <v>7</v>
      </c>
      <c r="B413" s="30" t="n">
        <v>2024</v>
      </c>
      <c r="C413" s="31" t="s">
        <v>1629</v>
      </c>
      <c r="D413" s="32" t="s">
        <v>2673</v>
      </c>
      <c r="E413" s="33" t="s">
        <v>2674</v>
      </c>
      <c r="F413" s="33" t="s">
        <v>2014</v>
      </c>
      <c r="G413" s="33" t="s">
        <v>1543</v>
      </c>
      <c r="H413" s="34" t="s">
        <v>2675</v>
      </c>
    </row>
    <row r="414" customFormat="false" ht="18.75" hidden="false" customHeight="true" outlineLevel="0" collapsed="false">
      <c r="A414" s="29" t="s">
        <v>7</v>
      </c>
      <c r="B414" s="30" t="n">
        <v>2024</v>
      </c>
      <c r="C414" s="31" t="s">
        <v>1629</v>
      </c>
      <c r="D414" s="32" t="s">
        <v>1935</v>
      </c>
      <c r="E414" s="33" t="s">
        <v>2676</v>
      </c>
      <c r="F414" s="33" t="s">
        <v>660</v>
      </c>
      <c r="G414" s="33" t="s">
        <v>1543</v>
      </c>
      <c r="H414" s="34" t="s">
        <v>2677</v>
      </c>
    </row>
    <row r="415" customFormat="false" ht="18.75" hidden="false" customHeight="true" outlineLevel="0" collapsed="false">
      <c r="A415" s="29" t="s">
        <v>7</v>
      </c>
      <c r="B415" s="30" t="n">
        <v>2024</v>
      </c>
      <c r="C415" s="31" t="s">
        <v>1636</v>
      </c>
      <c r="D415" s="32" t="s">
        <v>1941</v>
      </c>
      <c r="E415" s="33" t="s">
        <v>2678</v>
      </c>
      <c r="F415" s="33" t="s">
        <v>1542</v>
      </c>
      <c r="G415" s="33" t="s">
        <v>1543</v>
      </c>
      <c r="H415" s="34" t="s">
        <v>2679</v>
      </c>
    </row>
    <row r="416" customFormat="false" ht="15" hidden="false" customHeight="true" outlineLevel="0" collapsed="false">
      <c r="A416" s="29" t="s">
        <v>7</v>
      </c>
      <c r="B416" s="30" t="n">
        <v>2024</v>
      </c>
      <c r="C416" s="31" t="s">
        <v>1636</v>
      </c>
      <c r="D416" s="32" t="s">
        <v>1941</v>
      </c>
      <c r="E416" s="33" t="s">
        <v>2680</v>
      </c>
      <c r="F416" s="33" t="s">
        <v>416</v>
      </c>
      <c r="G416" s="33" t="s">
        <v>1543</v>
      </c>
      <c r="H416" s="34" t="s">
        <v>2681</v>
      </c>
    </row>
    <row r="417" customFormat="false" ht="21.75" hidden="false" customHeight="true" outlineLevel="0" collapsed="false">
      <c r="A417" s="29" t="s">
        <v>7</v>
      </c>
      <c r="B417" s="30" t="n">
        <v>2024</v>
      </c>
      <c r="C417" s="31" t="s">
        <v>1636</v>
      </c>
      <c r="D417" s="32" t="s">
        <v>2682</v>
      </c>
      <c r="E417" s="33" t="s">
        <v>2683</v>
      </c>
      <c r="F417" s="33" t="s">
        <v>1027</v>
      </c>
      <c r="G417" s="33" t="s">
        <v>1543</v>
      </c>
      <c r="H417" s="34" t="s">
        <v>2684</v>
      </c>
    </row>
    <row r="418" customFormat="false" ht="15" hidden="false" customHeight="true" outlineLevel="0" collapsed="false">
      <c r="A418" s="29" t="s">
        <v>7</v>
      </c>
      <c r="B418" s="30" t="n">
        <v>2024</v>
      </c>
      <c r="C418" s="31" t="s">
        <v>1636</v>
      </c>
      <c r="D418" s="32" t="s">
        <v>2685</v>
      </c>
      <c r="E418" s="33" t="s">
        <v>2686</v>
      </c>
      <c r="F418" s="33" t="s">
        <v>416</v>
      </c>
      <c r="G418" s="33" t="s">
        <v>1543</v>
      </c>
      <c r="H418" s="34" t="s">
        <v>2687</v>
      </c>
    </row>
    <row r="419" customFormat="false" ht="15" hidden="false" customHeight="true" outlineLevel="0" collapsed="false">
      <c r="A419" s="29" t="s">
        <v>7</v>
      </c>
      <c r="B419" s="30" t="n">
        <v>2024</v>
      </c>
      <c r="C419" s="31" t="s">
        <v>1636</v>
      </c>
      <c r="D419" s="32" t="s">
        <v>1956</v>
      </c>
      <c r="E419" s="33" t="s">
        <v>2688</v>
      </c>
      <c r="F419" s="33" t="s">
        <v>416</v>
      </c>
      <c r="G419" s="33" t="s">
        <v>1543</v>
      </c>
      <c r="H419" s="34" t="s">
        <v>2689</v>
      </c>
    </row>
    <row r="420" customFormat="false" ht="15" hidden="false" customHeight="true" outlineLevel="0" collapsed="false">
      <c r="A420" s="29" t="s">
        <v>7</v>
      </c>
      <c r="B420" s="30" t="n">
        <v>2024</v>
      </c>
      <c r="C420" s="31" t="s">
        <v>1636</v>
      </c>
      <c r="D420" s="32" t="s">
        <v>2690</v>
      </c>
      <c r="E420" s="33" t="s">
        <v>2691</v>
      </c>
      <c r="F420" s="33" t="s">
        <v>416</v>
      </c>
      <c r="G420" s="33" t="s">
        <v>1543</v>
      </c>
      <c r="H420" s="34" t="s">
        <v>2692</v>
      </c>
    </row>
    <row r="421" customFormat="false" ht="18.75" hidden="false" customHeight="true" outlineLevel="0" collapsed="false">
      <c r="A421" s="29" t="s">
        <v>7</v>
      </c>
      <c r="B421" s="30" t="n">
        <v>2024</v>
      </c>
      <c r="C421" s="31" t="s">
        <v>1636</v>
      </c>
      <c r="D421" s="32" t="s">
        <v>2693</v>
      </c>
      <c r="E421" s="33" t="s">
        <v>2694</v>
      </c>
      <c r="F421" s="33" t="s">
        <v>416</v>
      </c>
      <c r="G421" s="33" t="s">
        <v>1543</v>
      </c>
      <c r="H421" s="34" t="s">
        <v>2695</v>
      </c>
    </row>
    <row r="422" customFormat="false" ht="15" hidden="false" customHeight="true" outlineLevel="0" collapsed="false">
      <c r="A422" s="29" t="s">
        <v>7</v>
      </c>
      <c r="B422" s="30" t="n">
        <v>2024</v>
      </c>
      <c r="C422" s="31" t="s">
        <v>1550</v>
      </c>
      <c r="D422" s="32" t="s">
        <v>2696</v>
      </c>
      <c r="E422" s="33" t="s">
        <v>2697</v>
      </c>
      <c r="F422" s="33" t="s">
        <v>2340</v>
      </c>
      <c r="G422" s="33" t="s">
        <v>1543</v>
      </c>
      <c r="H422" s="34" t="s">
        <v>2698</v>
      </c>
    </row>
    <row r="423" customFormat="false" ht="15" hidden="false" customHeight="true" outlineLevel="0" collapsed="false">
      <c r="A423" s="29" t="s">
        <v>7</v>
      </c>
      <c r="B423" s="30" t="n">
        <v>2024</v>
      </c>
      <c r="C423" s="31" t="s">
        <v>1550</v>
      </c>
      <c r="D423" s="32" t="s">
        <v>2699</v>
      </c>
      <c r="E423" s="33" t="s">
        <v>2700</v>
      </c>
      <c r="F423" s="33" t="s">
        <v>2340</v>
      </c>
      <c r="G423" s="33" t="s">
        <v>1543</v>
      </c>
      <c r="H423" s="34" t="s">
        <v>2701</v>
      </c>
    </row>
    <row r="424" customFormat="false" ht="15" hidden="false" customHeight="true" outlineLevel="0" collapsed="false">
      <c r="A424" s="29" t="s">
        <v>7</v>
      </c>
      <c r="B424" s="30" t="n">
        <v>2024</v>
      </c>
      <c r="C424" s="31" t="s">
        <v>1550</v>
      </c>
      <c r="D424" s="32" t="s">
        <v>2702</v>
      </c>
      <c r="E424" s="33" t="s">
        <v>2703</v>
      </c>
      <c r="F424" s="33" t="s">
        <v>456</v>
      </c>
      <c r="G424" s="33" t="s">
        <v>1543</v>
      </c>
      <c r="H424" s="34" t="s">
        <v>2704</v>
      </c>
    </row>
    <row r="425" customFormat="false" ht="15" hidden="false" customHeight="true" outlineLevel="0" collapsed="false">
      <c r="A425" s="29" t="s">
        <v>7</v>
      </c>
      <c r="B425" s="30" t="n">
        <v>2024</v>
      </c>
      <c r="C425" s="31" t="s">
        <v>1550</v>
      </c>
      <c r="D425" s="32" t="s">
        <v>2702</v>
      </c>
      <c r="E425" s="33" t="s">
        <v>2705</v>
      </c>
      <c r="F425" s="33" t="s">
        <v>1542</v>
      </c>
      <c r="G425" s="33" t="s">
        <v>1543</v>
      </c>
      <c r="H425" s="34" t="s">
        <v>2706</v>
      </c>
    </row>
    <row r="426" customFormat="false" ht="15" hidden="false" customHeight="true" outlineLevel="0" collapsed="false">
      <c r="A426" s="29" t="s">
        <v>7</v>
      </c>
      <c r="B426" s="30" t="n">
        <v>2024</v>
      </c>
      <c r="C426" s="31" t="s">
        <v>1655</v>
      </c>
      <c r="D426" s="32" t="s">
        <v>2707</v>
      </c>
      <c r="E426" s="33" t="s">
        <v>2708</v>
      </c>
      <c r="F426" s="33" t="s">
        <v>1542</v>
      </c>
      <c r="G426" s="33" t="s">
        <v>1543</v>
      </c>
      <c r="H426" s="34" t="s">
        <v>2709</v>
      </c>
    </row>
    <row r="427" customFormat="false" ht="15" hidden="false" customHeight="true" outlineLevel="0" collapsed="false">
      <c r="A427" s="29" t="s">
        <v>7</v>
      </c>
      <c r="B427" s="30" t="n">
        <v>2024</v>
      </c>
      <c r="C427" s="31" t="s">
        <v>1655</v>
      </c>
      <c r="D427" s="32" t="s">
        <v>2707</v>
      </c>
      <c r="E427" s="33" t="s">
        <v>2710</v>
      </c>
      <c r="F427" s="33" t="s">
        <v>1542</v>
      </c>
      <c r="G427" s="33" t="s">
        <v>1543</v>
      </c>
      <c r="H427" s="34" t="s">
        <v>2711</v>
      </c>
    </row>
    <row r="428" customFormat="false" ht="18.75" hidden="false" customHeight="true" outlineLevel="0" collapsed="false">
      <c r="A428" s="29" t="s">
        <v>7</v>
      </c>
      <c r="B428" s="30" t="n">
        <v>2024</v>
      </c>
      <c r="C428" s="31" t="s">
        <v>1655</v>
      </c>
      <c r="D428" s="32" t="s">
        <v>2492</v>
      </c>
      <c r="E428" s="33" t="s">
        <v>2712</v>
      </c>
      <c r="F428" s="33" t="s">
        <v>2340</v>
      </c>
      <c r="G428" s="33" t="s">
        <v>1543</v>
      </c>
      <c r="H428" s="34" t="s">
        <v>2713</v>
      </c>
    </row>
    <row r="429" customFormat="false" ht="15" hidden="false" customHeight="true" outlineLevel="0" collapsed="false">
      <c r="A429" s="29" t="s">
        <v>7</v>
      </c>
      <c r="B429" s="30" t="n">
        <v>2024</v>
      </c>
      <c r="C429" s="31" t="s">
        <v>1655</v>
      </c>
      <c r="D429" s="32" t="s">
        <v>2486</v>
      </c>
      <c r="E429" s="33" t="s">
        <v>2714</v>
      </c>
      <c r="F429" s="33" t="s">
        <v>2014</v>
      </c>
      <c r="G429" s="33" t="s">
        <v>1543</v>
      </c>
      <c r="H429" s="34" t="s">
        <v>2715</v>
      </c>
    </row>
    <row r="430" customFormat="false" ht="15" hidden="false" customHeight="true" outlineLevel="0" collapsed="false">
      <c r="A430" s="29" t="s">
        <v>7</v>
      </c>
      <c r="B430" s="30" t="n">
        <v>2024</v>
      </c>
      <c r="C430" s="31" t="s">
        <v>1772</v>
      </c>
      <c r="D430" s="32" t="s">
        <v>2716</v>
      </c>
      <c r="E430" s="33" t="s">
        <v>2717</v>
      </c>
      <c r="F430" s="33" t="s">
        <v>1027</v>
      </c>
      <c r="G430" s="33" t="s">
        <v>1543</v>
      </c>
      <c r="H430" s="34" t="s">
        <v>2718</v>
      </c>
    </row>
    <row r="431" customFormat="false" ht="15" hidden="false" customHeight="true" outlineLevel="0" collapsed="false">
      <c r="A431" s="29" t="s">
        <v>7</v>
      </c>
      <c r="B431" s="30" t="n">
        <v>2024</v>
      </c>
      <c r="C431" s="31" t="s">
        <v>1772</v>
      </c>
      <c r="D431" s="32" t="s">
        <v>2719</v>
      </c>
      <c r="E431" s="33" t="s">
        <v>2720</v>
      </c>
      <c r="F431" s="33" t="s">
        <v>1027</v>
      </c>
      <c r="G431" s="33" t="s">
        <v>1543</v>
      </c>
      <c r="H431" s="34" t="s">
        <v>2721</v>
      </c>
    </row>
    <row r="432" customFormat="false" ht="15" hidden="false" customHeight="true" outlineLevel="0" collapsed="false">
      <c r="A432" s="29" t="s">
        <v>7</v>
      </c>
      <c r="B432" s="30" t="n">
        <v>2024</v>
      </c>
      <c r="C432" s="31" t="s">
        <v>1772</v>
      </c>
      <c r="D432" s="32" t="s">
        <v>2722</v>
      </c>
      <c r="E432" s="33" t="s">
        <v>2723</v>
      </c>
      <c r="F432" s="33" t="s">
        <v>2014</v>
      </c>
      <c r="G432" s="33" t="s">
        <v>1543</v>
      </c>
      <c r="H432" s="34" t="s">
        <v>2724</v>
      </c>
    </row>
    <row r="433" customFormat="false" ht="15" hidden="false" customHeight="true" outlineLevel="0" collapsed="false">
      <c r="A433" s="29" t="s">
        <v>7</v>
      </c>
      <c r="B433" s="30" t="n">
        <v>2024</v>
      </c>
      <c r="C433" s="31" t="s">
        <v>1772</v>
      </c>
      <c r="D433" s="32" t="s">
        <v>2725</v>
      </c>
      <c r="E433" s="33" t="s">
        <v>2726</v>
      </c>
      <c r="F433" s="33" t="s">
        <v>326</v>
      </c>
      <c r="G433" s="33" t="s">
        <v>1543</v>
      </c>
      <c r="H433" s="34" t="s">
        <v>2727</v>
      </c>
    </row>
    <row r="434" customFormat="false" ht="15" hidden="false" customHeight="true" outlineLevel="0" collapsed="false">
      <c r="A434" s="29" t="s">
        <v>7</v>
      </c>
      <c r="B434" s="30" t="n">
        <v>2024</v>
      </c>
      <c r="C434" s="31" t="s">
        <v>1772</v>
      </c>
      <c r="D434" s="32" t="s">
        <v>2498</v>
      </c>
      <c r="E434" s="33" t="s">
        <v>2728</v>
      </c>
      <c r="F434" s="33" t="s">
        <v>1027</v>
      </c>
      <c r="G434" s="33" t="s">
        <v>1543</v>
      </c>
      <c r="H434" s="34" t="s">
        <v>2729</v>
      </c>
    </row>
    <row r="435" customFormat="false" ht="15" hidden="false" customHeight="true" outlineLevel="0" collapsed="false">
      <c r="A435" s="29" t="s">
        <v>7</v>
      </c>
      <c r="B435" s="30" t="n">
        <v>2024</v>
      </c>
      <c r="C435" s="31" t="s">
        <v>1772</v>
      </c>
      <c r="D435" s="32" t="s">
        <v>2730</v>
      </c>
      <c r="E435" s="33" t="s">
        <v>2731</v>
      </c>
      <c r="F435" s="33" t="s">
        <v>1542</v>
      </c>
      <c r="G435" s="33" t="s">
        <v>1543</v>
      </c>
      <c r="H435" s="34" t="s">
        <v>2732</v>
      </c>
    </row>
    <row r="436" customFormat="false" ht="15" hidden="false" customHeight="true" outlineLevel="0" collapsed="false">
      <c r="A436" s="29" t="s">
        <v>7</v>
      </c>
      <c r="B436" s="30" t="n">
        <v>2024</v>
      </c>
      <c r="C436" s="31" t="s">
        <v>1772</v>
      </c>
      <c r="D436" s="32" t="s">
        <v>2733</v>
      </c>
      <c r="E436" s="33" t="s">
        <v>2734</v>
      </c>
      <c r="F436" s="33" t="s">
        <v>416</v>
      </c>
      <c r="G436" s="33" t="s">
        <v>1543</v>
      </c>
      <c r="H436" s="34" t="s">
        <v>863</v>
      </c>
    </row>
    <row r="437" customFormat="false" ht="15" hidden="false" customHeight="true" outlineLevel="0" collapsed="false">
      <c r="A437" s="29" t="s">
        <v>7</v>
      </c>
      <c r="B437" s="30" t="n">
        <v>2024</v>
      </c>
      <c r="C437" s="31" t="s">
        <v>1772</v>
      </c>
      <c r="D437" s="32" t="s">
        <v>2716</v>
      </c>
      <c r="E437" s="33" t="s">
        <v>2735</v>
      </c>
      <c r="F437" s="33" t="s">
        <v>1027</v>
      </c>
      <c r="G437" s="33" t="s">
        <v>1543</v>
      </c>
      <c r="H437" s="34" t="s">
        <v>2736</v>
      </c>
    </row>
    <row r="438" customFormat="false" ht="15" hidden="false" customHeight="true" outlineLevel="0" collapsed="false">
      <c r="A438" s="29" t="s">
        <v>7</v>
      </c>
      <c r="B438" s="30" t="n">
        <v>2024</v>
      </c>
      <c r="C438" s="31" t="s">
        <v>1665</v>
      </c>
      <c r="D438" s="32" t="s">
        <v>2737</v>
      </c>
      <c r="E438" s="33" t="s">
        <v>2738</v>
      </c>
      <c r="F438" s="33" t="s">
        <v>684</v>
      </c>
      <c r="G438" s="33" t="s">
        <v>1543</v>
      </c>
      <c r="H438" s="34" t="s">
        <v>2739</v>
      </c>
    </row>
    <row r="439" customFormat="false" ht="15" hidden="false" customHeight="true" outlineLevel="0" collapsed="false">
      <c r="A439" s="29" t="s">
        <v>7</v>
      </c>
      <c r="B439" s="30" t="n">
        <v>2024</v>
      </c>
      <c r="C439" s="31" t="s">
        <v>1665</v>
      </c>
      <c r="D439" s="32" t="s">
        <v>2740</v>
      </c>
      <c r="E439" s="33" t="s">
        <v>2741</v>
      </c>
      <c r="F439" s="33" t="s">
        <v>1027</v>
      </c>
      <c r="G439" s="33" t="s">
        <v>1543</v>
      </c>
      <c r="H439" s="34" t="s">
        <v>2742</v>
      </c>
    </row>
    <row r="440" customFormat="false" ht="15" hidden="false" customHeight="true" outlineLevel="0" collapsed="false">
      <c r="A440" s="29" t="s">
        <v>7</v>
      </c>
      <c r="B440" s="30" t="n">
        <v>2024</v>
      </c>
      <c r="C440" s="31" t="s">
        <v>1665</v>
      </c>
      <c r="D440" s="32" t="s">
        <v>2743</v>
      </c>
      <c r="E440" s="33" t="s">
        <v>2744</v>
      </c>
      <c r="F440" s="33" t="s">
        <v>660</v>
      </c>
      <c r="G440" s="33" t="s">
        <v>1543</v>
      </c>
      <c r="H440" s="34" t="s">
        <v>2745</v>
      </c>
    </row>
    <row r="441" customFormat="false" ht="15" hidden="false" customHeight="true" outlineLevel="0" collapsed="false">
      <c r="A441" s="29" t="s">
        <v>7</v>
      </c>
      <c r="B441" s="30" t="n">
        <v>2024</v>
      </c>
      <c r="C441" s="31" t="s">
        <v>1665</v>
      </c>
      <c r="D441" s="32" t="s">
        <v>2746</v>
      </c>
      <c r="E441" s="33" t="s">
        <v>2747</v>
      </c>
      <c r="F441" s="33" t="s">
        <v>2340</v>
      </c>
      <c r="G441" s="33" t="s">
        <v>1543</v>
      </c>
      <c r="H441" s="34" t="s">
        <v>2748</v>
      </c>
    </row>
    <row r="442" customFormat="false" ht="15" hidden="false" customHeight="true" outlineLevel="0" collapsed="false">
      <c r="A442" s="29" t="s">
        <v>7</v>
      </c>
      <c r="B442" s="30" t="n">
        <v>2024</v>
      </c>
      <c r="C442" s="31" t="s">
        <v>1665</v>
      </c>
      <c r="D442" s="32" t="s">
        <v>2737</v>
      </c>
      <c r="E442" s="33" t="s">
        <v>2749</v>
      </c>
      <c r="F442" s="33" t="s">
        <v>684</v>
      </c>
      <c r="G442" s="33" t="s">
        <v>1543</v>
      </c>
      <c r="H442" s="34" t="s">
        <v>2750</v>
      </c>
    </row>
    <row r="443" customFormat="false" ht="18.75" hidden="false" customHeight="true" outlineLevel="0" collapsed="false">
      <c r="A443" s="29" t="s">
        <v>7</v>
      </c>
      <c r="B443" s="30" t="n">
        <v>2024</v>
      </c>
      <c r="C443" s="31" t="s">
        <v>1665</v>
      </c>
      <c r="D443" s="32" t="s">
        <v>2746</v>
      </c>
      <c r="E443" s="33" t="s">
        <v>2751</v>
      </c>
      <c r="F443" s="33" t="s">
        <v>326</v>
      </c>
      <c r="G443" s="33" t="s">
        <v>1543</v>
      </c>
      <c r="H443" s="34" t="s">
        <v>2752</v>
      </c>
    </row>
    <row r="444" customFormat="false" ht="15" hidden="false" customHeight="true" outlineLevel="0" collapsed="false">
      <c r="A444" s="29" t="s">
        <v>7</v>
      </c>
      <c r="B444" s="30" t="n">
        <v>2024</v>
      </c>
      <c r="C444" s="31" t="s">
        <v>1665</v>
      </c>
      <c r="D444" s="32" t="s">
        <v>2504</v>
      </c>
      <c r="E444" s="33" t="s">
        <v>2753</v>
      </c>
      <c r="F444" s="33" t="s">
        <v>684</v>
      </c>
      <c r="G444" s="33" t="s">
        <v>1543</v>
      </c>
      <c r="H444" s="34" t="s">
        <v>2754</v>
      </c>
    </row>
    <row r="445" customFormat="false" ht="15" hidden="false" customHeight="true" outlineLevel="0" collapsed="false">
      <c r="A445" s="29" t="s">
        <v>7</v>
      </c>
      <c r="B445" s="30" t="n">
        <v>2024</v>
      </c>
      <c r="C445" s="31" t="s">
        <v>1665</v>
      </c>
      <c r="D445" s="32" t="s">
        <v>2504</v>
      </c>
      <c r="E445" s="33" t="s">
        <v>2755</v>
      </c>
      <c r="F445" s="33" t="s">
        <v>1542</v>
      </c>
      <c r="G445" s="33" t="s">
        <v>1543</v>
      </c>
      <c r="H445" s="34" t="s">
        <v>2756</v>
      </c>
    </row>
    <row r="446" customFormat="false" ht="18.75" hidden="false" customHeight="true" outlineLevel="0" collapsed="false">
      <c r="A446" s="29" t="s">
        <v>7</v>
      </c>
      <c r="B446" s="30" t="n">
        <v>2024</v>
      </c>
      <c r="C446" s="31" t="s">
        <v>1665</v>
      </c>
      <c r="D446" s="32" t="s">
        <v>2757</v>
      </c>
      <c r="E446" s="33" t="s">
        <v>2758</v>
      </c>
      <c r="F446" s="33" t="s">
        <v>2014</v>
      </c>
      <c r="G446" s="33" t="s">
        <v>1543</v>
      </c>
      <c r="H446" s="34" t="s">
        <v>2759</v>
      </c>
    </row>
    <row r="447" customFormat="false" ht="15" hidden="false" customHeight="true" outlineLevel="0" collapsed="false">
      <c r="A447" s="29" t="s">
        <v>7</v>
      </c>
      <c r="B447" s="30" t="n">
        <v>2024</v>
      </c>
      <c r="C447" s="31" t="s">
        <v>1665</v>
      </c>
      <c r="D447" s="32" t="s">
        <v>2760</v>
      </c>
      <c r="E447" s="33" t="s">
        <v>2761</v>
      </c>
      <c r="F447" s="33" t="s">
        <v>2014</v>
      </c>
      <c r="G447" s="33" t="s">
        <v>1543</v>
      </c>
      <c r="H447" s="34" t="s">
        <v>2762</v>
      </c>
    </row>
    <row r="448" customFormat="false" ht="15" hidden="false" customHeight="true" outlineLevel="0" collapsed="false">
      <c r="A448" s="29" t="s">
        <v>7</v>
      </c>
      <c r="B448" s="30" t="n">
        <v>2024</v>
      </c>
      <c r="C448" s="31" t="s">
        <v>1665</v>
      </c>
      <c r="D448" s="32" t="s">
        <v>2504</v>
      </c>
      <c r="E448" s="33" t="s">
        <v>2763</v>
      </c>
      <c r="F448" s="33" t="s">
        <v>1542</v>
      </c>
      <c r="G448" s="33" t="s">
        <v>1543</v>
      </c>
      <c r="H448" s="34" t="s">
        <v>2764</v>
      </c>
    </row>
    <row r="449" customFormat="false" ht="15" hidden="false" customHeight="true" outlineLevel="0" collapsed="false">
      <c r="A449" s="29" t="s">
        <v>7</v>
      </c>
      <c r="B449" s="30" t="n">
        <v>2024</v>
      </c>
      <c r="C449" s="31" t="s">
        <v>1678</v>
      </c>
      <c r="D449" s="32" t="s">
        <v>2765</v>
      </c>
      <c r="E449" s="33" t="s">
        <v>2766</v>
      </c>
      <c r="F449" s="33" t="s">
        <v>1542</v>
      </c>
      <c r="G449" s="33" t="s">
        <v>1543</v>
      </c>
      <c r="H449" s="34" t="s">
        <v>539</v>
      </c>
    </row>
    <row r="450" customFormat="false" ht="15" hidden="false" customHeight="true" outlineLevel="0" collapsed="false">
      <c r="A450" s="29" t="s">
        <v>7</v>
      </c>
      <c r="B450" s="30" t="n">
        <v>2024</v>
      </c>
      <c r="C450" s="31" t="s">
        <v>1678</v>
      </c>
      <c r="D450" s="32" t="s">
        <v>2767</v>
      </c>
      <c r="E450" s="33" t="s">
        <v>2768</v>
      </c>
      <c r="F450" s="33" t="s">
        <v>2340</v>
      </c>
      <c r="G450" s="33" t="s">
        <v>1543</v>
      </c>
      <c r="H450" s="34" t="s">
        <v>2769</v>
      </c>
    </row>
    <row r="451" customFormat="false" ht="15" hidden="false" customHeight="true" outlineLevel="0" collapsed="false">
      <c r="A451" s="29" t="s">
        <v>7</v>
      </c>
      <c r="B451" s="30" t="n">
        <v>2024</v>
      </c>
      <c r="C451" s="31" t="s">
        <v>1678</v>
      </c>
      <c r="D451" s="32" t="s">
        <v>2770</v>
      </c>
      <c r="E451" s="33" t="s">
        <v>2771</v>
      </c>
      <c r="F451" s="33" t="s">
        <v>1542</v>
      </c>
      <c r="G451" s="33" t="s">
        <v>1543</v>
      </c>
      <c r="H451" s="34" t="s">
        <v>2772</v>
      </c>
    </row>
    <row r="452" customFormat="false" ht="15" hidden="false" customHeight="true" outlineLevel="0" collapsed="false">
      <c r="A452" s="29" t="s">
        <v>7</v>
      </c>
      <c r="B452" s="30" t="n">
        <v>2024</v>
      </c>
      <c r="C452" s="31" t="s">
        <v>1573</v>
      </c>
      <c r="D452" s="32" t="s">
        <v>2586</v>
      </c>
      <c r="E452" s="33" t="s">
        <v>2773</v>
      </c>
      <c r="F452" s="33" t="s">
        <v>1542</v>
      </c>
      <c r="G452" s="33" t="s">
        <v>1543</v>
      </c>
      <c r="H452" s="34" t="s">
        <v>2774</v>
      </c>
    </row>
    <row r="453" customFormat="false" ht="15" hidden="false" customHeight="true" outlineLevel="0" collapsed="false">
      <c r="A453" s="29" t="s">
        <v>7</v>
      </c>
      <c r="B453" s="30" t="n">
        <v>2024</v>
      </c>
      <c r="C453" s="31" t="s">
        <v>1557</v>
      </c>
      <c r="D453" s="32" t="s">
        <v>2775</v>
      </c>
      <c r="E453" s="33" t="s">
        <v>2776</v>
      </c>
      <c r="F453" s="33" t="s">
        <v>1027</v>
      </c>
      <c r="G453" s="33" t="s">
        <v>1543</v>
      </c>
      <c r="H453" s="34" t="s">
        <v>2777</v>
      </c>
    </row>
    <row r="454" customFormat="false" ht="21.75" hidden="false" customHeight="true" outlineLevel="0" collapsed="false">
      <c r="A454" s="29" t="s">
        <v>7</v>
      </c>
      <c r="B454" s="30" t="n">
        <v>2024</v>
      </c>
      <c r="C454" s="31" t="s">
        <v>1557</v>
      </c>
      <c r="D454" s="32" t="s">
        <v>2778</v>
      </c>
      <c r="E454" s="33" t="s">
        <v>2779</v>
      </c>
      <c r="F454" s="33" t="s">
        <v>326</v>
      </c>
      <c r="G454" s="33" t="s">
        <v>1543</v>
      </c>
      <c r="H454" s="34" t="s">
        <v>2780</v>
      </c>
    </row>
    <row r="455" customFormat="false" ht="15" hidden="false" customHeight="true" outlineLevel="0" collapsed="false">
      <c r="A455" s="29" t="s">
        <v>7</v>
      </c>
      <c r="B455" s="30" t="n">
        <v>2024</v>
      </c>
      <c r="C455" s="31" t="s">
        <v>1557</v>
      </c>
      <c r="D455" s="32" t="s">
        <v>2781</v>
      </c>
      <c r="E455" s="33" t="s">
        <v>2782</v>
      </c>
      <c r="F455" s="33" t="s">
        <v>1542</v>
      </c>
      <c r="G455" s="33" t="s">
        <v>1543</v>
      </c>
      <c r="H455" s="34" t="s">
        <v>2783</v>
      </c>
    </row>
    <row r="456" customFormat="false" ht="15" hidden="false" customHeight="true" outlineLevel="0" collapsed="false">
      <c r="A456" s="29" t="s">
        <v>7</v>
      </c>
      <c r="B456" s="30" t="n">
        <v>2024</v>
      </c>
      <c r="C456" s="31" t="s">
        <v>1581</v>
      </c>
      <c r="D456" s="32" t="s">
        <v>2784</v>
      </c>
      <c r="E456" s="33" t="s">
        <v>2785</v>
      </c>
      <c r="F456" s="33" t="s">
        <v>1542</v>
      </c>
      <c r="G456" s="33" t="s">
        <v>1543</v>
      </c>
      <c r="H456" s="34" t="s">
        <v>2786</v>
      </c>
    </row>
    <row r="457" customFormat="false" ht="15" hidden="false" customHeight="true" outlineLevel="0" collapsed="false">
      <c r="A457" s="29" t="s">
        <v>7</v>
      </c>
      <c r="B457" s="30" t="n">
        <v>2024</v>
      </c>
      <c r="C457" s="31" t="s">
        <v>1581</v>
      </c>
      <c r="D457" s="32" t="s">
        <v>2787</v>
      </c>
      <c r="E457" s="33" t="s">
        <v>2788</v>
      </c>
      <c r="F457" s="33" t="s">
        <v>456</v>
      </c>
      <c r="G457" s="33" t="s">
        <v>1543</v>
      </c>
      <c r="H457" s="34" t="s">
        <v>2789</v>
      </c>
    </row>
    <row r="458" customFormat="false" ht="21.75" hidden="false" customHeight="true" outlineLevel="0" collapsed="false">
      <c r="A458" s="29" t="s">
        <v>7</v>
      </c>
      <c r="B458" s="30" t="n">
        <v>2024</v>
      </c>
      <c r="C458" s="31" t="s">
        <v>1581</v>
      </c>
      <c r="D458" s="32" t="s">
        <v>2790</v>
      </c>
      <c r="E458" s="33" t="s">
        <v>2791</v>
      </c>
      <c r="F458" s="33" t="s">
        <v>2340</v>
      </c>
      <c r="G458" s="33" t="s">
        <v>1543</v>
      </c>
      <c r="H458" s="34" t="s">
        <v>2792</v>
      </c>
    </row>
    <row r="459" customFormat="false" ht="21.75" hidden="false" customHeight="true" outlineLevel="0" collapsed="false">
      <c r="A459" s="29" t="s">
        <v>7</v>
      </c>
      <c r="B459" s="30" t="n">
        <v>2024</v>
      </c>
      <c r="C459" s="31" t="s">
        <v>1539</v>
      </c>
      <c r="D459" s="32" t="s">
        <v>2793</v>
      </c>
      <c r="E459" s="33" t="s">
        <v>2794</v>
      </c>
      <c r="F459" s="33" t="s">
        <v>2014</v>
      </c>
      <c r="G459" s="33" t="s">
        <v>1543</v>
      </c>
      <c r="H459" s="34" t="s">
        <v>2795</v>
      </c>
    </row>
    <row r="460" customFormat="false" ht="15" hidden="false" customHeight="true" outlineLevel="0" collapsed="false">
      <c r="A460" s="29" t="s">
        <v>7</v>
      </c>
      <c r="B460" s="30" t="n">
        <v>2025</v>
      </c>
      <c r="C460" s="31" t="s">
        <v>1618</v>
      </c>
      <c r="D460" s="32" t="s">
        <v>2796</v>
      </c>
      <c r="E460" s="33" t="s">
        <v>2797</v>
      </c>
      <c r="F460" s="33" t="s">
        <v>1542</v>
      </c>
      <c r="G460" s="33" t="s">
        <v>1543</v>
      </c>
      <c r="H460" s="34" t="s">
        <v>2798</v>
      </c>
    </row>
    <row r="461" customFormat="false" ht="15" hidden="false" customHeight="true" outlineLevel="0" collapsed="false">
      <c r="A461" s="29" t="s">
        <v>7</v>
      </c>
      <c r="B461" s="30" t="n">
        <v>2025</v>
      </c>
      <c r="C461" s="31" t="s">
        <v>1636</v>
      </c>
      <c r="D461" s="32" t="s">
        <v>2799</v>
      </c>
      <c r="E461" s="33" t="s">
        <v>2800</v>
      </c>
      <c r="F461" s="33" t="s">
        <v>326</v>
      </c>
      <c r="G461" s="33" t="s">
        <v>1543</v>
      </c>
      <c r="H461" s="34" t="s">
        <v>550</v>
      </c>
    </row>
    <row r="462" customFormat="false" ht="15" hidden="false" customHeight="true" outlineLevel="0" collapsed="false">
      <c r="A462" s="29" t="s">
        <v>7</v>
      </c>
      <c r="B462" s="30" t="n">
        <v>2025</v>
      </c>
      <c r="C462" s="31" t="s">
        <v>1636</v>
      </c>
      <c r="D462" s="32" t="s">
        <v>2801</v>
      </c>
      <c r="E462" s="33" t="s">
        <v>2802</v>
      </c>
      <c r="F462" s="33" t="s">
        <v>416</v>
      </c>
      <c r="G462" s="33" t="s">
        <v>1543</v>
      </c>
      <c r="H462" s="34" t="s">
        <v>2803</v>
      </c>
    </row>
    <row r="463" customFormat="false" ht="18.75" hidden="false" customHeight="true" outlineLevel="0" collapsed="false">
      <c r="A463" s="29" t="s">
        <v>7</v>
      </c>
      <c r="B463" s="30" t="n">
        <v>2025</v>
      </c>
      <c r="C463" s="31" t="s">
        <v>1636</v>
      </c>
      <c r="D463" s="32" t="s">
        <v>2804</v>
      </c>
      <c r="E463" s="33" t="s">
        <v>2805</v>
      </c>
      <c r="F463" s="33" t="s">
        <v>326</v>
      </c>
      <c r="G463" s="33" t="s">
        <v>1543</v>
      </c>
      <c r="H463" s="34" t="s">
        <v>2806</v>
      </c>
    </row>
    <row r="464" customFormat="false" ht="15" hidden="false" customHeight="true" outlineLevel="0" collapsed="false">
      <c r="A464" s="29" t="s">
        <v>7</v>
      </c>
      <c r="B464" s="30" t="n">
        <v>2025</v>
      </c>
      <c r="C464" s="31" t="s">
        <v>1636</v>
      </c>
      <c r="D464" s="32" t="s">
        <v>2019</v>
      </c>
      <c r="E464" s="33" t="s">
        <v>2807</v>
      </c>
      <c r="F464" s="33" t="s">
        <v>1027</v>
      </c>
      <c r="G464" s="33" t="s">
        <v>1543</v>
      </c>
      <c r="H464" s="34" t="s">
        <v>2808</v>
      </c>
    </row>
    <row r="465" customFormat="false" ht="18.75" hidden="false" customHeight="true" outlineLevel="0" collapsed="false">
      <c r="A465" s="29" t="s">
        <v>7</v>
      </c>
      <c r="B465" s="30" t="n">
        <v>2025</v>
      </c>
      <c r="C465" s="31" t="s">
        <v>1655</v>
      </c>
      <c r="D465" s="32" t="s">
        <v>2809</v>
      </c>
      <c r="E465" s="33" t="s">
        <v>2810</v>
      </c>
      <c r="F465" s="33" t="s">
        <v>1027</v>
      </c>
      <c r="G465" s="33" t="s">
        <v>1543</v>
      </c>
      <c r="H465" s="34" t="s">
        <v>523</v>
      </c>
    </row>
    <row r="466" customFormat="false" ht="15" hidden="false" customHeight="true" outlineLevel="0" collapsed="false">
      <c r="A466" s="29" t="s">
        <v>7</v>
      </c>
      <c r="B466" s="30" t="n">
        <v>2025</v>
      </c>
      <c r="C466" s="31" t="s">
        <v>1772</v>
      </c>
      <c r="D466" s="32" t="s">
        <v>2811</v>
      </c>
      <c r="E466" s="33" t="s">
        <v>2812</v>
      </c>
      <c r="F466" s="33" t="s">
        <v>660</v>
      </c>
      <c r="G466" s="33" t="s">
        <v>1543</v>
      </c>
      <c r="H466" s="34" t="s">
        <v>2813</v>
      </c>
    </row>
    <row r="467" customFormat="false" ht="18.75" hidden="false" customHeight="true" outlineLevel="0" collapsed="false">
      <c r="A467" s="29" t="s">
        <v>7</v>
      </c>
      <c r="B467" s="30" t="n">
        <v>2025</v>
      </c>
      <c r="C467" s="31" t="s">
        <v>1772</v>
      </c>
      <c r="D467" s="32" t="s">
        <v>2396</v>
      </c>
      <c r="E467" s="33" t="s">
        <v>2814</v>
      </c>
      <c r="F467" s="33" t="s">
        <v>1542</v>
      </c>
      <c r="G467" s="33" t="s">
        <v>1543</v>
      </c>
      <c r="H467" s="34" t="s">
        <v>2815</v>
      </c>
    </row>
    <row r="468" customFormat="false" ht="15" hidden="false" customHeight="true" outlineLevel="0" collapsed="false">
      <c r="A468" s="29" t="s">
        <v>7</v>
      </c>
      <c r="B468" s="30" t="n">
        <v>2025</v>
      </c>
      <c r="C468" s="31" t="s">
        <v>1772</v>
      </c>
      <c r="D468" s="32" t="s">
        <v>2816</v>
      </c>
      <c r="E468" s="33" t="s">
        <v>2817</v>
      </c>
      <c r="F468" s="33" t="s">
        <v>1027</v>
      </c>
      <c r="G468" s="33" t="s">
        <v>1543</v>
      </c>
      <c r="H468" s="34" t="s">
        <v>2818</v>
      </c>
    </row>
    <row r="469" customFormat="false" ht="15" hidden="false" customHeight="true" outlineLevel="0" collapsed="false">
      <c r="A469" s="29" t="s">
        <v>7</v>
      </c>
      <c r="B469" s="30" t="n">
        <v>2025</v>
      </c>
      <c r="C469" s="31" t="s">
        <v>1665</v>
      </c>
      <c r="D469" s="32" t="s">
        <v>2547</v>
      </c>
      <c r="E469" s="33" t="s">
        <v>2819</v>
      </c>
      <c r="F469" s="33" t="s">
        <v>1542</v>
      </c>
      <c r="G469" s="33" t="s">
        <v>1543</v>
      </c>
      <c r="H469" s="34" t="s">
        <v>2820</v>
      </c>
    </row>
    <row r="470" customFormat="false" ht="21.75" hidden="false" customHeight="true" outlineLevel="0" collapsed="false">
      <c r="A470" s="29" t="s">
        <v>7</v>
      </c>
      <c r="B470" s="30" t="n">
        <v>2025</v>
      </c>
      <c r="C470" s="31" t="s">
        <v>1665</v>
      </c>
      <c r="D470" s="32" t="s">
        <v>2821</v>
      </c>
      <c r="E470" s="33" t="s">
        <v>2822</v>
      </c>
      <c r="F470" s="33" t="s">
        <v>2340</v>
      </c>
      <c r="G470" s="33" t="s">
        <v>1543</v>
      </c>
      <c r="H470" s="34" t="s">
        <v>2823</v>
      </c>
    </row>
    <row r="471" customFormat="false" ht="18.75" hidden="false" customHeight="true" outlineLevel="0" collapsed="false">
      <c r="A471" s="29" t="s">
        <v>7</v>
      </c>
      <c r="B471" s="30" t="n">
        <v>2025</v>
      </c>
      <c r="C471" s="31" t="s">
        <v>1573</v>
      </c>
      <c r="D471" s="32" t="s">
        <v>2824</v>
      </c>
      <c r="E471" s="33" t="s">
        <v>2825</v>
      </c>
      <c r="F471" s="33" t="s">
        <v>416</v>
      </c>
      <c r="G471" s="33" t="s">
        <v>1543</v>
      </c>
      <c r="H471" s="34" t="s">
        <v>2826</v>
      </c>
    </row>
    <row r="472" customFormat="false" ht="21.75" hidden="false" customHeight="true" outlineLevel="0" collapsed="false">
      <c r="A472" s="29" t="s">
        <v>7</v>
      </c>
      <c r="B472" s="30" t="n">
        <v>2025</v>
      </c>
      <c r="C472" s="31" t="s">
        <v>1557</v>
      </c>
      <c r="D472" s="32" t="s">
        <v>2827</v>
      </c>
      <c r="E472" s="33" t="s">
        <v>2828</v>
      </c>
      <c r="F472" s="33" t="s">
        <v>2014</v>
      </c>
      <c r="G472" s="33" t="s">
        <v>1543</v>
      </c>
      <c r="H472" s="34" t="s">
        <v>2829</v>
      </c>
    </row>
    <row r="473" customFormat="false" ht="15" hidden="false" customHeight="true" outlineLevel="0" collapsed="false">
      <c r="A473" s="29" t="s">
        <v>7</v>
      </c>
      <c r="B473" s="30" t="n">
        <v>2025</v>
      </c>
      <c r="C473" s="31" t="s">
        <v>1557</v>
      </c>
      <c r="D473" s="32" t="s">
        <v>2830</v>
      </c>
      <c r="E473" s="33" t="s">
        <v>2831</v>
      </c>
      <c r="F473" s="33" t="s">
        <v>1542</v>
      </c>
      <c r="G473" s="33" t="s">
        <v>1543</v>
      </c>
      <c r="H473" s="34" t="s">
        <v>2832</v>
      </c>
    </row>
    <row r="474" customFormat="false" ht="15" hidden="false" customHeight="true" outlineLevel="0" collapsed="false">
      <c r="A474" s="29" t="s">
        <v>7</v>
      </c>
      <c r="B474" s="30" t="n">
        <v>2025</v>
      </c>
      <c r="C474" s="31" t="s">
        <v>1557</v>
      </c>
      <c r="D474" s="32" t="s">
        <v>2833</v>
      </c>
      <c r="E474" s="33" t="s">
        <v>2834</v>
      </c>
      <c r="F474" s="33" t="s">
        <v>2014</v>
      </c>
      <c r="G474" s="33" t="s">
        <v>1543</v>
      </c>
      <c r="H474" s="34" t="s">
        <v>2835</v>
      </c>
    </row>
    <row r="475" customFormat="false" ht="18.75" hidden="false" customHeight="true" outlineLevel="0" collapsed="false">
      <c r="A475" s="29" t="s">
        <v>7</v>
      </c>
      <c r="B475" s="30" t="n">
        <v>2025</v>
      </c>
      <c r="C475" s="31" t="s">
        <v>1581</v>
      </c>
      <c r="D475" s="32" t="s">
        <v>2836</v>
      </c>
      <c r="E475" s="33" t="s">
        <v>2837</v>
      </c>
      <c r="F475" s="33" t="s">
        <v>684</v>
      </c>
      <c r="G475" s="33" t="s">
        <v>1543</v>
      </c>
      <c r="H475" s="34" t="s">
        <v>2838</v>
      </c>
    </row>
    <row r="476" customFormat="false" ht="15" hidden="false" customHeight="true" outlineLevel="0" collapsed="false">
      <c r="A476" s="29" t="s">
        <v>7</v>
      </c>
      <c r="B476" s="30" t="n">
        <v>2025</v>
      </c>
      <c r="C476" s="31" t="s">
        <v>1581</v>
      </c>
      <c r="D476" s="32" t="s">
        <v>2839</v>
      </c>
      <c r="E476" s="33" t="s">
        <v>2840</v>
      </c>
      <c r="F476" s="33" t="s">
        <v>2014</v>
      </c>
      <c r="G476" s="33" t="s">
        <v>1543</v>
      </c>
      <c r="H476" s="34" t="s">
        <v>2841</v>
      </c>
    </row>
    <row r="477" customFormat="false" ht="15" hidden="false" customHeight="true" outlineLevel="0" collapsed="false">
      <c r="A477" s="29" t="s">
        <v>7</v>
      </c>
      <c r="B477" s="30" t="n">
        <v>2026</v>
      </c>
      <c r="C477" s="31" t="s">
        <v>1629</v>
      </c>
      <c r="D477" s="32" t="s">
        <v>2842</v>
      </c>
      <c r="E477" s="33" t="s">
        <v>2843</v>
      </c>
      <c r="F477" s="33" t="s">
        <v>1542</v>
      </c>
      <c r="G477" s="33" t="s">
        <v>1543</v>
      </c>
      <c r="H477" s="34" t="s">
        <v>2844</v>
      </c>
    </row>
    <row r="478" customFormat="false" ht="15" hidden="false" customHeight="true" outlineLevel="0" collapsed="false">
      <c r="A478" s="29" t="s">
        <v>7</v>
      </c>
      <c r="B478" s="30" t="n">
        <v>2026</v>
      </c>
      <c r="C478" s="31" t="s">
        <v>1636</v>
      </c>
      <c r="D478" s="32" t="s">
        <v>2845</v>
      </c>
      <c r="E478" s="33" t="s">
        <v>2846</v>
      </c>
      <c r="F478" s="33" t="s">
        <v>416</v>
      </c>
      <c r="G478" s="33" t="s">
        <v>1543</v>
      </c>
      <c r="H478" s="34" t="s">
        <v>2847</v>
      </c>
    </row>
    <row r="479" customFormat="false" ht="15" hidden="false" customHeight="true" outlineLevel="0" collapsed="false">
      <c r="A479" s="29" t="s">
        <v>7</v>
      </c>
      <c r="B479" s="30" t="n">
        <v>2026</v>
      </c>
      <c r="C479" s="31" t="s">
        <v>1636</v>
      </c>
      <c r="D479" s="32" t="s">
        <v>2848</v>
      </c>
      <c r="E479" s="33" t="s">
        <v>2849</v>
      </c>
      <c r="F479" s="33" t="s">
        <v>684</v>
      </c>
      <c r="G479" s="33" t="s">
        <v>1543</v>
      </c>
      <c r="H479" s="34" t="s">
        <v>561</v>
      </c>
    </row>
    <row r="480" customFormat="false" ht="15" hidden="false" customHeight="true" outlineLevel="0" collapsed="false">
      <c r="A480" s="29" t="s">
        <v>7</v>
      </c>
      <c r="B480" s="30" t="n">
        <v>2026</v>
      </c>
      <c r="C480" s="31" t="s">
        <v>1636</v>
      </c>
      <c r="D480" s="32" t="s">
        <v>2171</v>
      </c>
      <c r="E480" s="33" t="s">
        <v>2850</v>
      </c>
      <c r="F480" s="33" t="s">
        <v>1542</v>
      </c>
      <c r="G480" s="33" t="s">
        <v>1543</v>
      </c>
      <c r="H480" s="34" t="s">
        <v>2851</v>
      </c>
    </row>
    <row r="481" customFormat="false" ht="15" hidden="false" customHeight="true" outlineLevel="0" collapsed="false">
      <c r="A481" s="29" t="s">
        <v>7</v>
      </c>
      <c r="B481" s="30" t="n">
        <v>2026</v>
      </c>
      <c r="C481" s="31" t="s">
        <v>1636</v>
      </c>
      <c r="D481" s="32" t="s">
        <v>2848</v>
      </c>
      <c r="E481" s="33" t="s">
        <v>2852</v>
      </c>
      <c r="F481" s="33" t="s">
        <v>416</v>
      </c>
      <c r="G481" s="33" t="s">
        <v>1543</v>
      </c>
      <c r="H481" s="34" t="s">
        <v>2853</v>
      </c>
    </row>
    <row r="482" customFormat="false" ht="15" hidden="false" customHeight="true" outlineLevel="0" collapsed="false">
      <c r="A482" s="29" t="s">
        <v>7</v>
      </c>
      <c r="B482" s="30" t="n">
        <v>2026</v>
      </c>
      <c r="C482" s="31" t="s">
        <v>1550</v>
      </c>
      <c r="D482" s="32" t="s">
        <v>2854</v>
      </c>
      <c r="E482" s="33" t="s">
        <v>2855</v>
      </c>
      <c r="F482" s="33" t="s">
        <v>416</v>
      </c>
      <c r="G482" s="33" t="s">
        <v>1543</v>
      </c>
      <c r="H482" s="34" t="s">
        <v>2856</v>
      </c>
    </row>
    <row r="483" customFormat="false" ht="15" hidden="false" customHeight="true" outlineLevel="0" collapsed="false">
      <c r="A483" s="29" t="s">
        <v>7</v>
      </c>
      <c r="B483" s="30" t="n">
        <v>2026</v>
      </c>
      <c r="C483" s="31" t="s">
        <v>1550</v>
      </c>
      <c r="D483" s="32" t="s">
        <v>2857</v>
      </c>
      <c r="E483" s="33" t="s">
        <v>2858</v>
      </c>
      <c r="F483" s="33" t="s">
        <v>416</v>
      </c>
      <c r="G483" s="33" t="s">
        <v>1543</v>
      </c>
      <c r="H483" s="34" t="s">
        <v>2859</v>
      </c>
    </row>
    <row r="484" customFormat="false" ht="15" hidden="false" customHeight="true" outlineLevel="0" collapsed="false">
      <c r="A484" s="29" t="s">
        <v>7</v>
      </c>
      <c r="B484" s="30" t="n">
        <v>2026</v>
      </c>
      <c r="C484" s="31" t="s">
        <v>1550</v>
      </c>
      <c r="D484" s="32" t="s">
        <v>2860</v>
      </c>
      <c r="E484" s="33" t="s">
        <v>2861</v>
      </c>
      <c r="F484" s="33" t="s">
        <v>2340</v>
      </c>
      <c r="G484" s="33" t="s">
        <v>1543</v>
      </c>
      <c r="H484" s="34" t="s">
        <v>871</v>
      </c>
    </row>
    <row r="485" customFormat="false" ht="18.75" hidden="false" customHeight="true" outlineLevel="0" collapsed="false">
      <c r="A485" s="29" t="s">
        <v>7</v>
      </c>
      <c r="B485" s="30" t="n">
        <v>2026</v>
      </c>
      <c r="C485" s="31" t="s">
        <v>1550</v>
      </c>
      <c r="D485" s="32" t="s">
        <v>2862</v>
      </c>
      <c r="E485" s="33" t="s">
        <v>2863</v>
      </c>
      <c r="F485" s="33" t="s">
        <v>416</v>
      </c>
      <c r="G485" s="33" t="s">
        <v>1543</v>
      </c>
      <c r="H485" s="34" t="s">
        <v>2864</v>
      </c>
    </row>
    <row r="486" customFormat="false" ht="15" hidden="false" customHeight="true" outlineLevel="0" collapsed="false">
      <c r="A486" s="29" t="s">
        <v>7</v>
      </c>
      <c r="B486" s="30" t="n">
        <v>2026</v>
      </c>
      <c r="C486" s="31" t="s">
        <v>1550</v>
      </c>
      <c r="D486" s="32" t="s">
        <v>2865</v>
      </c>
      <c r="E486" s="33" t="s">
        <v>2866</v>
      </c>
      <c r="F486" s="33" t="s">
        <v>416</v>
      </c>
      <c r="G486" s="33" t="s">
        <v>1543</v>
      </c>
      <c r="H486" s="34" t="s">
        <v>2867</v>
      </c>
    </row>
    <row r="487" customFormat="false" ht="15" hidden="false" customHeight="true" outlineLevel="0" collapsed="false">
      <c r="A487" s="29" t="s">
        <v>7</v>
      </c>
      <c r="B487" s="30" t="n">
        <v>2026</v>
      </c>
      <c r="C487" s="31" t="s">
        <v>1550</v>
      </c>
      <c r="D487" s="32" t="s">
        <v>2860</v>
      </c>
      <c r="E487" s="33" t="s">
        <v>2868</v>
      </c>
      <c r="F487" s="33" t="s">
        <v>416</v>
      </c>
      <c r="G487" s="33" t="s">
        <v>1543</v>
      </c>
      <c r="H487" s="34" t="s">
        <v>2869</v>
      </c>
    </row>
    <row r="488" customFormat="false" ht="15" hidden="false" customHeight="true" outlineLevel="0" collapsed="false">
      <c r="A488" s="29" t="s">
        <v>7</v>
      </c>
      <c r="B488" s="30" t="n">
        <v>2026</v>
      </c>
      <c r="C488" s="31" t="s">
        <v>1655</v>
      </c>
      <c r="D488" s="32" t="s">
        <v>2870</v>
      </c>
      <c r="E488" s="33" t="s">
        <v>2871</v>
      </c>
      <c r="F488" s="33" t="s">
        <v>416</v>
      </c>
      <c r="G488" s="33" t="s">
        <v>1543</v>
      </c>
      <c r="H488" s="34" t="s">
        <v>2872</v>
      </c>
    </row>
    <row r="489" customFormat="false" ht="15" hidden="false" customHeight="true" outlineLevel="0" collapsed="false">
      <c r="A489" s="29" t="s">
        <v>7</v>
      </c>
      <c r="B489" s="30" t="n">
        <v>2026</v>
      </c>
      <c r="C489" s="31" t="s">
        <v>1772</v>
      </c>
      <c r="D489" s="32" t="s">
        <v>2873</v>
      </c>
      <c r="E489" s="33" t="s">
        <v>2874</v>
      </c>
      <c r="F489" s="33" t="s">
        <v>416</v>
      </c>
      <c r="G489" s="33" t="s">
        <v>1543</v>
      </c>
      <c r="H489" s="34" t="s">
        <v>2875</v>
      </c>
    </row>
    <row r="490" customFormat="false" ht="15" hidden="false" customHeight="true" outlineLevel="0" collapsed="false">
      <c r="A490" s="29" t="s">
        <v>7</v>
      </c>
      <c r="B490" s="30" t="n">
        <v>2026</v>
      </c>
      <c r="C490" s="31" t="s">
        <v>1772</v>
      </c>
      <c r="D490" s="32" t="s">
        <v>2876</v>
      </c>
      <c r="E490" s="33" t="s">
        <v>2877</v>
      </c>
      <c r="F490" s="33" t="s">
        <v>416</v>
      </c>
      <c r="G490" s="33" t="s">
        <v>1543</v>
      </c>
      <c r="H490" s="34" t="s">
        <v>2878</v>
      </c>
    </row>
    <row r="491" customFormat="false" ht="15" hidden="false" customHeight="true" outlineLevel="0" collapsed="false">
      <c r="A491" s="29" t="s">
        <v>7</v>
      </c>
      <c r="B491" s="30" t="n">
        <v>2026</v>
      </c>
      <c r="C491" s="31" t="s">
        <v>1772</v>
      </c>
      <c r="D491" s="32" t="s">
        <v>2879</v>
      </c>
      <c r="E491" s="33" t="s">
        <v>2880</v>
      </c>
      <c r="F491" s="33" t="s">
        <v>1027</v>
      </c>
      <c r="G491" s="33" t="s">
        <v>1543</v>
      </c>
      <c r="H491" s="34" t="s">
        <v>515</v>
      </c>
    </row>
    <row r="492" customFormat="false" ht="15" hidden="false" customHeight="true" outlineLevel="0" collapsed="false">
      <c r="A492" s="29" t="s">
        <v>7</v>
      </c>
      <c r="B492" s="30" t="n">
        <v>2026</v>
      </c>
      <c r="C492" s="31" t="s">
        <v>1772</v>
      </c>
      <c r="D492" s="32" t="s">
        <v>2881</v>
      </c>
      <c r="E492" s="33" t="s">
        <v>2882</v>
      </c>
      <c r="F492" s="33" t="s">
        <v>416</v>
      </c>
      <c r="G492" s="33" t="s">
        <v>1543</v>
      </c>
      <c r="H492" s="34" t="s">
        <v>2883</v>
      </c>
    </row>
    <row r="493" customFormat="false" ht="15" hidden="false" customHeight="true" outlineLevel="0" collapsed="false">
      <c r="A493" s="29" t="s">
        <v>61</v>
      </c>
      <c r="B493" s="30" t="n">
        <v>2022</v>
      </c>
      <c r="C493" s="31" t="s">
        <v>1629</v>
      </c>
      <c r="D493" s="32" t="s">
        <v>2884</v>
      </c>
      <c r="E493" s="33" t="s">
        <v>2885</v>
      </c>
      <c r="F493" s="33" t="s">
        <v>684</v>
      </c>
      <c r="G493" s="33" t="s">
        <v>1543</v>
      </c>
      <c r="H493" s="34" t="s">
        <v>2886</v>
      </c>
    </row>
    <row r="494" customFormat="false" ht="15" hidden="false" customHeight="true" outlineLevel="0" collapsed="false">
      <c r="A494" s="29" t="s">
        <v>61</v>
      </c>
      <c r="B494" s="30" t="n">
        <v>2024</v>
      </c>
      <c r="C494" s="31" t="s">
        <v>1539</v>
      </c>
      <c r="D494" s="32" t="s">
        <v>2887</v>
      </c>
      <c r="E494" s="33" t="s">
        <v>2888</v>
      </c>
      <c r="F494" s="33" t="s">
        <v>1542</v>
      </c>
      <c r="G494" s="33" t="s">
        <v>1543</v>
      </c>
      <c r="H494" s="34" t="s">
        <v>2889</v>
      </c>
    </row>
    <row r="495" customFormat="false" ht="15" hidden="false" customHeight="true" outlineLevel="0" collapsed="false">
      <c r="A495" s="29" t="s">
        <v>61</v>
      </c>
      <c r="B495" s="30" t="n">
        <v>2026</v>
      </c>
      <c r="C495" s="31" t="s">
        <v>1629</v>
      </c>
      <c r="D495" s="32" t="s">
        <v>2890</v>
      </c>
      <c r="E495" s="33" t="s">
        <v>2891</v>
      </c>
      <c r="F495" s="33" t="s">
        <v>1542</v>
      </c>
      <c r="G495" s="33" t="s">
        <v>1543</v>
      </c>
      <c r="H495" s="34" t="s">
        <v>2892</v>
      </c>
    </row>
    <row r="496" customFormat="false" ht="15" hidden="false" customHeight="true" outlineLevel="0" collapsed="false">
      <c r="A496" s="29" t="s">
        <v>61</v>
      </c>
      <c r="B496" s="30" t="n">
        <v>2026</v>
      </c>
      <c r="C496" s="31" t="s">
        <v>1629</v>
      </c>
      <c r="D496" s="32" t="s">
        <v>2890</v>
      </c>
      <c r="E496" s="33" t="s">
        <v>2893</v>
      </c>
      <c r="F496" s="33" t="s">
        <v>1542</v>
      </c>
      <c r="G496" s="33" t="s">
        <v>1543</v>
      </c>
      <c r="H496" s="34" t="s">
        <v>2894</v>
      </c>
    </row>
    <row r="497" customFormat="false" ht="15" hidden="false" customHeight="true" outlineLevel="0" collapsed="false">
      <c r="A497" s="29" t="s">
        <v>61</v>
      </c>
      <c r="B497" s="30" t="n">
        <v>2026</v>
      </c>
      <c r="C497" s="31" t="s">
        <v>1629</v>
      </c>
      <c r="D497" s="32" t="s">
        <v>2842</v>
      </c>
      <c r="E497" s="33" t="s">
        <v>2895</v>
      </c>
      <c r="F497" s="33" t="s">
        <v>1542</v>
      </c>
      <c r="G497" s="33" t="s">
        <v>1543</v>
      </c>
      <c r="H497" s="34" t="s">
        <v>2896</v>
      </c>
    </row>
    <row r="498" customFormat="false" ht="15" hidden="false" customHeight="true" outlineLevel="0" collapsed="false">
      <c r="A498" s="29" t="s">
        <v>61</v>
      </c>
      <c r="B498" s="30" t="n">
        <v>2026</v>
      </c>
      <c r="C498" s="31" t="s">
        <v>1629</v>
      </c>
      <c r="D498" s="32" t="s">
        <v>2897</v>
      </c>
      <c r="E498" s="33" t="s">
        <v>2898</v>
      </c>
      <c r="F498" s="33" t="s">
        <v>1542</v>
      </c>
      <c r="G498" s="33" t="s">
        <v>1543</v>
      </c>
      <c r="H498" s="34" t="s">
        <v>2899</v>
      </c>
    </row>
    <row r="499" customFormat="false" ht="15" hidden="false" customHeight="true" outlineLevel="0" collapsed="false">
      <c r="A499" s="29" t="s">
        <v>61</v>
      </c>
      <c r="B499" s="30" t="n">
        <v>2026</v>
      </c>
      <c r="C499" s="31" t="s">
        <v>1629</v>
      </c>
      <c r="D499" s="32" t="s">
        <v>2900</v>
      </c>
      <c r="E499" s="33" t="s">
        <v>2901</v>
      </c>
      <c r="F499" s="33" t="s">
        <v>1542</v>
      </c>
      <c r="G499" s="33" t="s">
        <v>1543</v>
      </c>
      <c r="H499" s="34" t="s">
        <v>2902</v>
      </c>
    </row>
    <row r="500" customFormat="false" ht="15" hidden="false" customHeight="true" outlineLevel="0" collapsed="false">
      <c r="A500" s="29" t="s">
        <v>61</v>
      </c>
      <c r="B500" s="30" t="n">
        <v>2026</v>
      </c>
      <c r="C500" s="31" t="s">
        <v>1629</v>
      </c>
      <c r="D500" s="32" t="s">
        <v>2842</v>
      </c>
      <c r="E500" s="33" t="s">
        <v>2903</v>
      </c>
      <c r="F500" s="33" t="s">
        <v>1542</v>
      </c>
      <c r="G500" s="33" t="s">
        <v>1543</v>
      </c>
      <c r="H500" s="34" t="s">
        <v>2904</v>
      </c>
    </row>
    <row r="501" customFormat="false" ht="15" hidden="false" customHeight="true" outlineLevel="0" collapsed="false">
      <c r="A501" s="29" t="s">
        <v>61</v>
      </c>
      <c r="B501" s="30" t="n">
        <v>2026</v>
      </c>
      <c r="C501" s="31" t="s">
        <v>1636</v>
      </c>
      <c r="D501" s="32" t="s">
        <v>2565</v>
      </c>
      <c r="E501" s="33" t="s">
        <v>2905</v>
      </c>
      <c r="F501" s="33" t="s">
        <v>2340</v>
      </c>
      <c r="G501" s="33" t="s">
        <v>1543</v>
      </c>
      <c r="H501" s="34" t="s">
        <v>2906</v>
      </c>
    </row>
    <row r="502" customFormat="false" ht="15" hidden="false" customHeight="true" outlineLevel="0" collapsed="false">
      <c r="A502" s="29" t="s">
        <v>61</v>
      </c>
      <c r="B502" s="30" t="n">
        <v>2026</v>
      </c>
      <c r="C502" s="31" t="s">
        <v>1636</v>
      </c>
      <c r="D502" s="32" t="s">
        <v>2565</v>
      </c>
      <c r="E502" s="33" t="s">
        <v>2907</v>
      </c>
      <c r="F502" s="33" t="s">
        <v>1542</v>
      </c>
      <c r="G502" s="33" t="s">
        <v>1543</v>
      </c>
      <c r="H502" s="34" t="s">
        <v>2908</v>
      </c>
    </row>
    <row r="503" customFormat="false" ht="21.75" hidden="false" customHeight="true" outlineLevel="0" collapsed="false">
      <c r="A503" s="29" t="s">
        <v>24</v>
      </c>
      <c r="B503" s="30" t="n">
        <v>2021</v>
      </c>
      <c r="C503" s="31"/>
      <c r="D503" s="32"/>
      <c r="E503" s="33" t="s">
        <v>2909</v>
      </c>
      <c r="F503" s="33" t="s">
        <v>1027</v>
      </c>
      <c r="G503" s="33" t="s">
        <v>1548</v>
      </c>
      <c r="H503" s="34" t="s">
        <v>1024</v>
      </c>
    </row>
    <row r="504" customFormat="false" ht="15" hidden="false" customHeight="true" outlineLevel="0" collapsed="false">
      <c r="A504" s="29" t="s">
        <v>30</v>
      </c>
      <c r="B504" s="30" t="n">
        <v>2022</v>
      </c>
      <c r="C504" s="31" t="s">
        <v>1772</v>
      </c>
      <c r="D504" s="32" t="s">
        <v>2910</v>
      </c>
      <c r="E504" s="33" t="s">
        <v>2911</v>
      </c>
      <c r="F504" s="33" t="s">
        <v>1542</v>
      </c>
      <c r="G504" s="33" t="s">
        <v>1543</v>
      </c>
      <c r="H504" s="34" t="s">
        <v>2912</v>
      </c>
    </row>
    <row r="505" customFormat="false" ht="15" hidden="false" customHeight="true" outlineLevel="0" collapsed="false">
      <c r="A505" s="29" t="s">
        <v>30</v>
      </c>
      <c r="B505" s="30" t="n">
        <v>2022</v>
      </c>
      <c r="C505" s="31" t="s">
        <v>1772</v>
      </c>
      <c r="D505" s="32" t="s">
        <v>2437</v>
      </c>
      <c r="E505" s="33" t="s">
        <v>2913</v>
      </c>
      <c r="F505" s="33" t="s">
        <v>1542</v>
      </c>
      <c r="G505" s="33" t="s">
        <v>1543</v>
      </c>
      <c r="H505" s="34" t="s">
        <v>2914</v>
      </c>
    </row>
    <row r="506" customFormat="false" ht="15" hidden="false" customHeight="true" outlineLevel="0" collapsed="false">
      <c r="A506" s="29" t="s">
        <v>30</v>
      </c>
      <c r="B506" s="30" t="n">
        <v>2022</v>
      </c>
      <c r="C506" s="31" t="s">
        <v>1665</v>
      </c>
      <c r="D506" s="32" t="s">
        <v>2915</v>
      </c>
      <c r="E506" s="33" t="s">
        <v>2916</v>
      </c>
      <c r="F506" s="33" t="s">
        <v>1542</v>
      </c>
      <c r="G506" s="33" t="s">
        <v>1543</v>
      </c>
      <c r="H506" s="34" t="s">
        <v>2917</v>
      </c>
    </row>
    <row r="507" customFormat="false" ht="15" hidden="false" customHeight="true" outlineLevel="0" collapsed="false">
      <c r="A507" s="29" t="s">
        <v>30</v>
      </c>
      <c r="B507" s="30" t="n">
        <v>2022</v>
      </c>
      <c r="C507" s="31" t="s">
        <v>1665</v>
      </c>
      <c r="D507" s="32" t="s">
        <v>2918</v>
      </c>
      <c r="E507" s="33" t="s">
        <v>2919</v>
      </c>
      <c r="F507" s="33" t="s">
        <v>1542</v>
      </c>
      <c r="G507" s="33" t="s">
        <v>1543</v>
      </c>
      <c r="H507" s="34" t="s">
        <v>2920</v>
      </c>
    </row>
    <row r="508" customFormat="false" ht="15" hidden="false" customHeight="true" outlineLevel="0" collapsed="false">
      <c r="A508" s="29" t="s">
        <v>30</v>
      </c>
      <c r="B508" s="30" t="n">
        <v>2022</v>
      </c>
      <c r="C508" s="31" t="s">
        <v>1678</v>
      </c>
      <c r="D508" s="32" t="s">
        <v>2921</v>
      </c>
      <c r="E508" s="33" t="s">
        <v>2922</v>
      </c>
      <c r="F508" s="33" t="s">
        <v>1542</v>
      </c>
      <c r="G508" s="33" t="s">
        <v>1543</v>
      </c>
      <c r="H508" s="34" t="s">
        <v>2923</v>
      </c>
    </row>
    <row r="509" customFormat="false" ht="21.75" hidden="false" customHeight="true" outlineLevel="0" collapsed="false">
      <c r="A509" s="29" t="s">
        <v>30</v>
      </c>
      <c r="B509" s="30" t="n">
        <v>2023</v>
      </c>
      <c r="C509" s="31" t="s">
        <v>1629</v>
      </c>
      <c r="D509" s="32" t="s">
        <v>2924</v>
      </c>
      <c r="E509" s="33" t="s">
        <v>2925</v>
      </c>
      <c r="F509" s="33" t="s">
        <v>2014</v>
      </c>
      <c r="G509" s="33" t="s">
        <v>1543</v>
      </c>
      <c r="H509" s="34" t="s">
        <v>2926</v>
      </c>
    </row>
    <row r="510" customFormat="false" ht="15" hidden="false" customHeight="true" outlineLevel="0" collapsed="false">
      <c r="A510" s="29" t="s">
        <v>30</v>
      </c>
      <c r="B510" s="30" t="n">
        <v>2024</v>
      </c>
      <c r="C510" s="31" t="s">
        <v>1557</v>
      </c>
      <c r="D510" s="32" t="s">
        <v>2781</v>
      </c>
      <c r="E510" s="33" t="s">
        <v>2927</v>
      </c>
      <c r="F510" s="33" t="s">
        <v>1542</v>
      </c>
      <c r="G510" s="33" t="s">
        <v>1543</v>
      </c>
      <c r="H510" s="34" t="s">
        <v>2928</v>
      </c>
    </row>
    <row r="511" customFormat="false" ht="18.75" hidden="false" customHeight="true" outlineLevel="0" collapsed="false">
      <c r="A511" s="29" t="s">
        <v>30</v>
      </c>
      <c r="B511" s="30" t="n">
        <v>2025</v>
      </c>
      <c r="C511" s="31" t="s">
        <v>1581</v>
      </c>
      <c r="D511" s="32" t="s">
        <v>2929</v>
      </c>
      <c r="E511" s="33" t="s">
        <v>2930</v>
      </c>
      <c r="F511" s="33" t="s">
        <v>456</v>
      </c>
      <c r="G511" s="33" t="s">
        <v>1543</v>
      </c>
      <c r="H511" s="34" t="s">
        <v>692</v>
      </c>
    </row>
    <row r="513" customFormat="false" ht="72" hidden="false" customHeight="true" outlineLevel="0" collapsed="false">
      <c r="A513" s="39" t="s">
        <v>2931</v>
      </c>
      <c r="B513" s="39"/>
      <c r="C513" s="39"/>
      <c r="D513" s="39"/>
      <c r="E513" s="39"/>
      <c r="F513" s="39"/>
      <c r="G513" s="39"/>
      <c r="H513" s="39"/>
    </row>
  </sheetData>
  <autoFilter ref="A1:H511"/>
  <mergeCells count="1">
    <mergeCell ref="A513:H5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832031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6"/>
    <col collapsed="false" customWidth="true" hidden="false" outlineLevel="0" max="4" min="4" style="1" width="42"/>
    <col collapsed="false" customWidth="true" hidden="false" outlineLevel="0" max="5" min="5" style="1" width="44"/>
    <col collapsed="false" customWidth="true" hidden="false" outlineLevel="0" max="6" min="6" style="1" width="36"/>
    <col collapsed="false" customWidth="true" hidden="false" outlineLevel="0" max="7" min="7" style="1" width="21"/>
    <col collapsed="false" customWidth="true" hidden="false" outlineLevel="0" max="8" min="8" style="1" width="44"/>
    <col collapsed="false" customWidth="true" hidden="false" outlineLevel="0" max="9" min="9" style="0" width="35"/>
  </cols>
  <sheetData>
    <row r="1" customFormat="false" ht="30" hidden="false" customHeight="true" outlineLevel="0" collapsed="false">
      <c r="A1" s="40" t="s">
        <v>0</v>
      </c>
      <c r="B1" s="40" t="s">
        <v>2932</v>
      </c>
      <c r="C1" s="40" t="s">
        <v>2933</v>
      </c>
      <c r="D1" s="40" t="s">
        <v>2934</v>
      </c>
      <c r="E1" s="40" t="s">
        <v>2935</v>
      </c>
      <c r="F1" s="40" t="s">
        <v>2936</v>
      </c>
      <c r="G1" s="40" t="s">
        <v>2937</v>
      </c>
      <c r="H1" s="40" t="s">
        <v>2938</v>
      </c>
      <c r="I1" s="40" t="s">
        <v>2939</v>
      </c>
    </row>
    <row r="2" customFormat="false" ht="49.5" hidden="false" customHeight="true" outlineLevel="0" collapsed="false">
      <c r="A2" s="41" t="s">
        <v>13</v>
      </c>
      <c r="B2" s="5" t="s">
        <v>2940</v>
      </c>
      <c r="C2" s="5" t="s">
        <v>2941</v>
      </c>
      <c r="D2" s="5" t="s">
        <v>2942</v>
      </c>
      <c r="E2" s="5" t="s">
        <v>2943</v>
      </c>
      <c r="F2" s="5" t="s">
        <v>2944</v>
      </c>
      <c r="G2" s="9" t="s">
        <v>23</v>
      </c>
      <c r="H2" s="42" t="s">
        <v>2945</v>
      </c>
      <c r="I2" s="5" t="s">
        <v>2946</v>
      </c>
    </row>
    <row r="3" customFormat="false" ht="49.5" hidden="false" customHeight="true" outlineLevel="0" collapsed="false">
      <c r="A3" s="43" t="s">
        <v>17</v>
      </c>
      <c r="B3" s="9" t="s">
        <v>2947</v>
      </c>
      <c r="C3" s="9" t="s">
        <v>2948</v>
      </c>
      <c r="D3" s="9" t="s">
        <v>2949</v>
      </c>
      <c r="E3" s="9" t="s">
        <v>2950</v>
      </c>
      <c r="F3" s="9" t="s">
        <v>2951</v>
      </c>
      <c r="G3" s="9" t="s">
        <v>2952</v>
      </c>
      <c r="H3" s="44" t="s">
        <v>2953</v>
      </c>
      <c r="I3" s="9" t="s">
        <v>2954</v>
      </c>
    </row>
    <row r="4" customFormat="false" ht="49.5" hidden="false" customHeight="true" outlineLevel="0" collapsed="false">
      <c r="A4" s="43" t="s">
        <v>7</v>
      </c>
      <c r="B4" s="9" t="s">
        <v>2955</v>
      </c>
      <c r="C4" s="9" t="s">
        <v>2956</v>
      </c>
      <c r="D4" s="9" t="s">
        <v>2957</v>
      </c>
      <c r="E4" s="9" t="s">
        <v>2958</v>
      </c>
      <c r="F4" s="9" t="s">
        <v>2959</v>
      </c>
      <c r="G4" s="9" t="s">
        <v>2960</v>
      </c>
      <c r="H4" s="44" t="s">
        <v>2961</v>
      </c>
      <c r="I4" s="9" t="s">
        <v>2962</v>
      </c>
    </row>
    <row r="5" customFormat="false" ht="49.5" hidden="false" customHeight="true" outlineLevel="0" collapsed="false">
      <c r="A5" s="43" t="s">
        <v>10</v>
      </c>
      <c r="B5" s="9" t="s">
        <v>2963</v>
      </c>
      <c r="C5" s="9" t="s">
        <v>2964</v>
      </c>
      <c r="D5" s="9" t="s">
        <v>2965</v>
      </c>
      <c r="E5" s="9" t="s">
        <v>2966</v>
      </c>
      <c r="F5" s="9" t="s">
        <v>2967</v>
      </c>
      <c r="G5" s="9" t="s">
        <v>2968</v>
      </c>
      <c r="H5" s="44" t="s">
        <v>2969</v>
      </c>
      <c r="I5" s="9" t="s">
        <v>2970</v>
      </c>
    </row>
    <row r="6" customFormat="false" ht="49.5" hidden="false" customHeight="true" outlineLevel="0" collapsed="false">
      <c r="A6" s="43" t="s">
        <v>32</v>
      </c>
      <c r="B6" s="9" t="s">
        <v>2971</v>
      </c>
      <c r="C6" s="9" t="s">
        <v>2972</v>
      </c>
      <c r="D6" s="9" t="s">
        <v>2973</v>
      </c>
      <c r="E6" s="9" t="s">
        <v>2974</v>
      </c>
      <c r="F6" s="9" t="s">
        <v>2975</v>
      </c>
      <c r="G6" s="9" t="s">
        <v>2976</v>
      </c>
      <c r="H6" s="44" t="s">
        <v>2977</v>
      </c>
      <c r="I6" s="9" t="s">
        <v>2978</v>
      </c>
    </row>
    <row r="7" customFormat="false" ht="49.5" hidden="false" customHeight="true" outlineLevel="0" collapsed="false">
      <c r="A7" s="43" t="s">
        <v>22</v>
      </c>
      <c r="B7" s="9" t="s">
        <v>2979</v>
      </c>
      <c r="C7" s="9" t="s">
        <v>2980</v>
      </c>
      <c r="D7" s="9" t="s">
        <v>2981</v>
      </c>
      <c r="E7" s="9" t="s">
        <v>2982</v>
      </c>
      <c r="F7" s="9" t="s">
        <v>2983</v>
      </c>
      <c r="G7" s="9" t="s">
        <v>2952</v>
      </c>
      <c r="H7" s="44" t="s">
        <v>2984</v>
      </c>
      <c r="I7" s="9" t="s">
        <v>2985</v>
      </c>
    </row>
    <row r="8" customFormat="false" ht="49.5" hidden="false" customHeight="true" outlineLevel="0" collapsed="false">
      <c r="A8" s="43" t="s">
        <v>30</v>
      </c>
      <c r="B8" s="9" t="s">
        <v>2986</v>
      </c>
      <c r="C8" s="9" t="s">
        <v>2987</v>
      </c>
      <c r="D8" s="9" t="s">
        <v>2988</v>
      </c>
      <c r="E8" s="9" t="s">
        <v>2989</v>
      </c>
      <c r="F8" s="9" t="s">
        <v>2990</v>
      </c>
      <c r="G8" s="9" t="s">
        <v>23</v>
      </c>
      <c r="H8" s="44" t="s">
        <v>2991</v>
      </c>
      <c r="I8" s="9" t="s">
        <v>2992</v>
      </c>
    </row>
    <row r="9" customFormat="false" ht="49.5" hidden="false" customHeight="true" outlineLevel="0" collapsed="false">
      <c r="A9" s="43" t="s">
        <v>15</v>
      </c>
      <c r="B9" s="9" t="s">
        <v>2993</v>
      </c>
      <c r="C9" s="9" t="s">
        <v>2994</v>
      </c>
      <c r="D9" s="9" t="s">
        <v>2995</v>
      </c>
      <c r="E9" s="9" t="s">
        <v>2996</v>
      </c>
      <c r="F9" s="9" t="s">
        <v>2997</v>
      </c>
      <c r="G9" s="9" t="s">
        <v>2998</v>
      </c>
      <c r="H9" s="44" t="s">
        <v>2999</v>
      </c>
      <c r="I9" s="9" t="s">
        <v>3000</v>
      </c>
    </row>
    <row r="10" customFormat="false" ht="49.5" hidden="false" customHeight="true" outlineLevel="0" collapsed="false">
      <c r="A10" s="43" t="s">
        <v>28</v>
      </c>
      <c r="B10" s="9" t="s">
        <v>3001</v>
      </c>
      <c r="C10" s="9" t="s">
        <v>3002</v>
      </c>
      <c r="D10" s="9" t="s">
        <v>3003</v>
      </c>
      <c r="E10" s="9" t="s">
        <v>3004</v>
      </c>
      <c r="F10" s="9" t="s">
        <v>3005</v>
      </c>
      <c r="G10" s="9" t="s">
        <v>3006</v>
      </c>
      <c r="H10" s="44" t="s">
        <v>3007</v>
      </c>
      <c r="I10" s="9" t="s">
        <v>3008</v>
      </c>
    </row>
    <row r="11" customFormat="false" ht="49.5" hidden="false" customHeight="true" outlineLevel="0" collapsed="false">
      <c r="A11" s="43" t="s">
        <v>25</v>
      </c>
      <c r="B11" s="9" t="s">
        <v>3009</v>
      </c>
      <c r="C11" s="9" t="s">
        <v>3010</v>
      </c>
      <c r="D11" s="9" t="s">
        <v>3011</v>
      </c>
      <c r="E11" s="9" t="s">
        <v>3012</v>
      </c>
      <c r="F11" s="9" t="s">
        <v>3013</v>
      </c>
      <c r="G11" s="9" t="s">
        <v>2952</v>
      </c>
      <c r="H11" s="44" t="s">
        <v>3014</v>
      </c>
      <c r="I11" s="9" t="s">
        <v>3015</v>
      </c>
    </row>
    <row r="12" customFormat="false" ht="49.5" hidden="false" customHeight="true" outlineLevel="0" collapsed="false">
      <c r="A12" s="43" t="s">
        <v>19</v>
      </c>
      <c r="B12" s="9" t="s">
        <v>3016</v>
      </c>
      <c r="C12" s="9" t="s">
        <v>3017</v>
      </c>
      <c r="D12" s="9" t="s">
        <v>3018</v>
      </c>
      <c r="E12" s="9" t="s">
        <v>3019</v>
      </c>
      <c r="F12" s="9" t="s">
        <v>3020</v>
      </c>
      <c r="G12" s="9" t="s">
        <v>2952</v>
      </c>
      <c r="H12" s="44" t="s">
        <v>3021</v>
      </c>
      <c r="I12" s="9" t="s">
        <v>3022</v>
      </c>
    </row>
    <row r="13" customFormat="false" ht="49.5" hidden="false" customHeight="true" outlineLevel="0" collapsed="false">
      <c r="A13" s="43" t="s">
        <v>24</v>
      </c>
      <c r="B13" s="9" t="s">
        <v>3023</v>
      </c>
      <c r="C13" s="9" t="s">
        <v>3024</v>
      </c>
      <c r="D13" s="9" t="s">
        <v>3025</v>
      </c>
      <c r="E13" s="9" t="s">
        <v>3026</v>
      </c>
      <c r="F13" s="9" t="s">
        <v>3027</v>
      </c>
      <c r="G13" s="9" t="s">
        <v>3028</v>
      </c>
      <c r="H13" s="44" t="s">
        <v>3029</v>
      </c>
      <c r="I13" s="9" t="s">
        <v>3030</v>
      </c>
    </row>
    <row r="14" customFormat="false" ht="49.5" hidden="false" customHeight="true" outlineLevel="0" collapsed="false">
      <c r="A14" s="43" t="s">
        <v>27</v>
      </c>
      <c r="B14" s="9" t="s">
        <v>3031</v>
      </c>
      <c r="C14" s="9" t="s">
        <v>3032</v>
      </c>
      <c r="D14" s="9" t="s">
        <v>3033</v>
      </c>
      <c r="E14" s="9" t="s">
        <v>3034</v>
      </c>
      <c r="F14" s="9" t="s">
        <v>3035</v>
      </c>
      <c r="G14" s="9" t="s">
        <v>3028</v>
      </c>
      <c r="H14" s="44" t="s">
        <v>3036</v>
      </c>
      <c r="I14" s="9" t="s">
        <v>3037</v>
      </c>
    </row>
    <row r="15" customFormat="false" ht="49.5" hidden="false" customHeight="true" outlineLevel="0" collapsed="false">
      <c r="A15" s="43" t="s">
        <v>18</v>
      </c>
      <c r="B15" s="9" t="s">
        <v>3038</v>
      </c>
      <c r="C15" s="9" t="s">
        <v>3039</v>
      </c>
      <c r="D15" s="9" t="s">
        <v>3040</v>
      </c>
      <c r="E15" s="9" t="s">
        <v>3041</v>
      </c>
      <c r="F15" s="9" t="s">
        <v>3042</v>
      </c>
      <c r="G15" s="9" t="s">
        <v>3043</v>
      </c>
      <c r="H15" s="44" t="s">
        <v>2961</v>
      </c>
      <c r="I15" s="9" t="s">
        <v>3044</v>
      </c>
    </row>
    <row r="16" customFormat="false" ht="49.5" hidden="false" customHeight="true" outlineLevel="0" collapsed="false">
      <c r="A16" s="43" t="s">
        <v>26</v>
      </c>
      <c r="B16" s="9" t="s">
        <v>3045</v>
      </c>
      <c r="C16" s="9" t="s">
        <v>3046</v>
      </c>
      <c r="D16" s="9" t="s">
        <v>3047</v>
      </c>
      <c r="E16" s="9" t="s">
        <v>3026</v>
      </c>
      <c r="F16" s="9" t="s">
        <v>3048</v>
      </c>
      <c r="G16" s="9" t="s">
        <v>3028</v>
      </c>
      <c r="H16" s="44" t="s">
        <v>3049</v>
      </c>
      <c r="I16" s="9" t="s">
        <v>3050</v>
      </c>
    </row>
    <row r="17" customFormat="false" ht="42.75" hidden="false" customHeight="true" outlineLevel="0" collapsed="false">
      <c r="A17" s="43" t="s">
        <v>34</v>
      </c>
      <c r="B17" s="9" t="s">
        <v>3051</v>
      </c>
      <c r="C17" s="9" t="s">
        <v>3052</v>
      </c>
      <c r="D17" s="9" t="s">
        <v>3053</v>
      </c>
      <c r="E17" s="9" t="s">
        <v>3054</v>
      </c>
      <c r="F17" s="9" t="s">
        <v>3055</v>
      </c>
      <c r="G17" s="9" t="s">
        <v>3028</v>
      </c>
      <c r="H17" s="44" t="s">
        <v>3056</v>
      </c>
      <c r="I17" s="9" t="s">
        <v>3057</v>
      </c>
    </row>
    <row r="18" customFormat="false" ht="32.25" hidden="false" customHeight="true" outlineLevel="0" collapsed="false">
      <c r="A18" s="43" t="s">
        <v>36</v>
      </c>
      <c r="B18" s="9" t="s">
        <v>3058</v>
      </c>
      <c r="C18" s="9" t="s">
        <v>3059</v>
      </c>
      <c r="D18" s="9" t="s">
        <v>3060</v>
      </c>
      <c r="E18" s="9" t="s">
        <v>3054</v>
      </c>
      <c r="F18" s="9" t="s">
        <v>3061</v>
      </c>
      <c r="G18" s="9" t="s">
        <v>3028</v>
      </c>
      <c r="H18" s="44" t="s">
        <v>1191</v>
      </c>
      <c r="I18" s="9" t="s">
        <v>3062</v>
      </c>
    </row>
    <row r="19" customFormat="false" ht="32.25" hidden="false" customHeight="true" outlineLevel="0" collapsed="false">
      <c r="A19" s="43" t="s">
        <v>38</v>
      </c>
      <c r="B19" s="9" t="s">
        <v>3063</v>
      </c>
      <c r="C19" s="9" t="s">
        <v>3064</v>
      </c>
      <c r="D19" s="9" t="s">
        <v>3065</v>
      </c>
      <c r="E19" s="9" t="s">
        <v>3054</v>
      </c>
      <c r="F19" s="9" t="s">
        <v>3066</v>
      </c>
      <c r="G19" s="9" t="s">
        <v>3028</v>
      </c>
      <c r="H19" s="44" t="s">
        <v>3067</v>
      </c>
      <c r="I19" s="9" t="s">
        <v>3068</v>
      </c>
    </row>
    <row r="20" customFormat="false" ht="32.25" hidden="false" customHeight="true" outlineLevel="0" collapsed="false">
      <c r="A20" s="43" t="s">
        <v>41</v>
      </c>
      <c r="B20" s="9" t="s">
        <v>3069</v>
      </c>
      <c r="C20" s="9" t="s">
        <v>3070</v>
      </c>
      <c r="D20" s="9" t="s">
        <v>3071</v>
      </c>
      <c r="E20" s="9" t="s">
        <v>3054</v>
      </c>
      <c r="F20" s="9" t="s">
        <v>3072</v>
      </c>
      <c r="G20" s="9" t="s">
        <v>3028</v>
      </c>
      <c r="H20" s="44" t="s">
        <v>213</v>
      </c>
      <c r="I20" s="9" t="s">
        <v>3073</v>
      </c>
    </row>
    <row r="21" customFormat="false" ht="53.25" hidden="false" customHeight="true" outlineLevel="0" collapsed="false">
      <c r="A21" s="43" t="s">
        <v>44</v>
      </c>
      <c r="B21" s="9" t="s">
        <v>3074</v>
      </c>
      <c r="C21" s="9" t="s">
        <v>3075</v>
      </c>
      <c r="D21" s="9" t="s">
        <v>3076</v>
      </c>
      <c r="E21" s="9" t="s">
        <v>3054</v>
      </c>
      <c r="F21" s="9" t="s">
        <v>3077</v>
      </c>
      <c r="G21" s="9" t="s">
        <v>3028</v>
      </c>
      <c r="H21" s="44" t="s">
        <v>3078</v>
      </c>
      <c r="I21" s="9" t="s">
        <v>3079</v>
      </c>
    </row>
    <row r="22" customFormat="false" ht="32.25" hidden="false" customHeight="true" outlineLevel="0" collapsed="false">
      <c r="A22" s="43" t="s">
        <v>46</v>
      </c>
      <c r="B22" s="9" t="s">
        <v>3080</v>
      </c>
      <c r="C22" s="9" t="s">
        <v>3081</v>
      </c>
      <c r="D22" s="9" t="s">
        <v>3082</v>
      </c>
      <c r="E22" s="9" t="s">
        <v>3054</v>
      </c>
      <c r="F22" s="9" t="s">
        <v>3083</v>
      </c>
      <c r="G22" s="9" t="s">
        <v>3028</v>
      </c>
      <c r="H22" s="44" t="s">
        <v>3084</v>
      </c>
      <c r="I22" s="9" t="s">
        <v>3085</v>
      </c>
    </row>
    <row r="23" customFormat="false" ht="53.25" hidden="false" customHeight="true" outlineLevel="0" collapsed="false">
      <c r="A23" s="43" t="s">
        <v>48</v>
      </c>
      <c r="B23" s="9" t="s">
        <v>3086</v>
      </c>
      <c r="C23" s="9" t="s">
        <v>3087</v>
      </c>
      <c r="D23" s="9" t="s">
        <v>3088</v>
      </c>
      <c r="E23" s="9" t="s">
        <v>3089</v>
      </c>
      <c r="F23" s="9" t="s">
        <v>3090</v>
      </c>
      <c r="G23" s="9" t="s">
        <v>2998</v>
      </c>
      <c r="H23" s="44" t="s">
        <v>3091</v>
      </c>
      <c r="I23" s="9" t="s">
        <v>3092</v>
      </c>
    </row>
    <row r="24" customFormat="false" ht="53.25" hidden="false" customHeight="true" outlineLevel="0" collapsed="false">
      <c r="A24" s="43" t="s">
        <v>50</v>
      </c>
      <c r="B24" s="9" t="s">
        <v>3093</v>
      </c>
      <c r="C24" s="9" t="s">
        <v>3094</v>
      </c>
      <c r="D24" s="9" t="s">
        <v>3095</v>
      </c>
      <c r="E24" s="9" t="s">
        <v>3054</v>
      </c>
      <c r="F24" s="9" t="s">
        <v>3096</v>
      </c>
      <c r="G24" s="9" t="s">
        <v>3097</v>
      </c>
      <c r="H24" s="44" t="s">
        <v>231</v>
      </c>
      <c r="I24" s="9" t="s">
        <v>3098</v>
      </c>
    </row>
    <row r="25" customFormat="false" ht="42.75" hidden="false" customHeight="true" outlineLevel="0" collapsed="false">
      <c r="A25" s="43" t="s">
        <v>52</v>
      </c>
      <c r="B25" s="9" t="s">
        <v>3099</v>
      </c>
      <c r="C25" s="9" t="s">
        <v>3100</v>
      </c>
      <c r="D25" s="9" t="s">
        <v>3101</v>
      </c>
      <c r="E25" s="9" t="s">
        <v>3102</v>
      </c>
      <c r="F25" s="9" t="s">
        <v>3103</v>
      </c>
      <c r="G25" s="9" t="s">
        <v>2960</v>
      </c>
      <c r="H25" s="44" t="s">
        <v>1348</v>
      </c>
      <c r="I25" s="9" t="s">
        <v>3104</v>
      </c>
    </row>
    <row r="26" customFormat="false" ht="42.75" hidden="false" customHeight="true" outlineLevel="0" collapsed="false">
      <c r="A26" s="43" t="s">
        <v>54</v>
      </c>
      <c r="B26" s="9" t="s">
        <v>3105</v>
      </c>
      <c r="C26" s="9" t="s">
        <v>3052</v>
      </c>
      <c r="D26" s="9" t="s">
        <v>3106</v>
      </c>
      <c r="E26" s="9" t="s">
        <v>3054</v>
      </c>
      <c r="F26" s="9" t="s">
        <v>3107</v>
      </c>
      <c r="G26" s="9" t="s">
        <v>3028</v>
      </c>
      <c r="H26" s="44" t="s">
        <v>1369</v>
      </c>
      <c r="I26" s="9" t="s">
        <v>3108</v>
      </c>
    </row>
    <row r="27" customFormat="false" ht="42.75" hidden="false" customHeight="true" outlineLevel="0" collapsed="false">
      <c r="A27" s="43" t="s">
        <v>55</v>
      </c>
      <c r="B27" s="9" t="s">
        <v>3109</v>
      </c>
      <c r="C27" s="9" t="s">
        <v>3110</v>
      </c>
      <c r="D27" s="9" t="s">
        <v>3111</v>
      </c>
      <c r="E27" s="9" t="s">
        <v>3054</v>
      </c>
      <c r="F27" s="9" t="s">
        <v>3112</v>
      </c>
      <c r="G27" s="9" t="s">
        <v>3028</v>
      </c>
      <c r="H27" s="44" t="s">
        <v>1380</v>
      </c>
      <c r="I27" s="9" t="s">
        <v>3113</v>
      </c>
    </row>
    <row r="28" customFormat="false" ht="32.25" hidden="false" customHeight="true" outlineLevel="0" collapsed="false">
      <c r="A28" s="43" t="s">
        <v>56</v>
      </c>
      <c r="B28" s="9" t="s">
        <v>3114</v>
      </c>
      <c r="C28" s="9" t="s">
        <v>3115</v>
      </c>
      <c r="D28" s="9" t="s">
        <v>3116</v>
      </c>
      <c r="E28" s="9" t="s">
        <v>3054</v>
      </c>
      <c r="F28" s="9" t="s">
        <v>3117</v>
      </c>
      <c r="G28" s="9" t="s">
        <v>3028</v>
      </c>
      <c r="H28" s="44" t="s">
        <v>251</v>
      </c>
      <c r="I28" s="9" t="s">
        <v>3118</v>
      </c>
    </row>
    <row r="29" customFormat="false" ht="53.25" hidden="false" customHeight="true" outlineLevel="0" collapsed="false">
      <c r="A29" s="43" t="s">
        <v>58</v>
      </c>
      <c r="B29" s="9" t="s">
        <v>3119</v>
      </c>
      <c r="C29" s="9" t="s">
        <v>3120</v>
      </c>
      <c r="D29" s="9" t="s">
        <v>3121</v>
      </c>
      <c r="E29" s="9" t="s">
        <v>3102</v>
      </c>
      <c r="F29" s="9" t="s">
        <v>3122</v>
      </c>
      <c r="G29" s="9" t="s">
        <v>2960</v>
      </c>
      <c r="H29" s="44" t="s">
        <v>3123</v>
      </c>
      <c r="I29" s="9" t="s">
        <v>3124</v>
      </c>
    </row>
    <row r="30" customFormat="false" ht="53.25" hidden="false" customHeight="true" outlineLevel="0" collapsed="false">
      <c r="A30" s="43" t="s">
        <v>59</v>
      </c>
      <c r="B30" s="9" t="s">
        <v>3125</v>
      </c>
      <c r="C30" s="9" t="s">
        <v>3032</v>
      </c>
      <c r="D30" s="9" t="s">
        <v>3126</v>
      </c>
      <c r="E30" s="9" t="s">
        <v>3054</v>
      </c>
      <c r="F30" s="9" t="s">
        <v>3127</v>
      </c>
      <c r="G30" s="9" t="s">
        <v>3028</v>
      </c>
      <c r="H30" s="44" t="s">
        <v>3128</v>
      </c>
      <c r="I30" s="9" t="s">
        <v>3129</v>
      </c>
    </row>
    <row r="31" customFormat="false" ht="53.25" hidden="false" customHeight="true" outlineLevel="0" collapsed="false">
      <c r="A31" s="43" t="s">
        <v>61</v>
      </c>
      <c r="B31" s="9" t="s">
        <v>3130</v>
      </c>
      <c r="C31" s="9" t="s">
        <v>3131</v>
      </c>
      <c r="D31" s="9" t="s">
        <v>3132</v>
      </c>
      <c r="E31" s="9" t="s">
        <v>3054</v>
      </c>
      <c r="F31" s="9" t="s">
        <v>3133</v>
      </c>
      <c r="G31" s="9" t="s">
        <v>3028</v>
      </c>
      <c r="H31" s="44" t="s">
        <v>3134</v>
      </c>
      <c r="I31" s="9" t="s">
        <v>3135</v>
      </c>
    </row>
    <row r="32" customFormat="false" ht="53.25" hidden="false" customHeight="true" outlineLevel="0" collapsed="false">
      <c r="A32" s="43" t="s">
        <v>3136</v>
      </c>
      <c r="B32" s="9" t="s">
        <v>3137</v>
      </c>
      <c r="C32" s="9" t="s">
        <v>3138</v>
      </c>
      <c r="D32" s="9" t="s">
        <v>3139</v>
      </c>
      <c r="E32" s="9" t="s">
        <v>3140</v>
      </c>
      <c r="F32" s="9" t="s">
        <v>3141</v>
      </c>
      <c r="G32" s="9" t="s">
        <v>3097</v>
      </c>
      <c r="H32" s="44" t="s">
        <v>3142</v>
      </c>
      <c r="I32" s="9" t="s">
        <v>3143</v>
      </c>
    </row>
    <row r="33" customFormat="false" ht="42.75" hidden="false" customHeight="true" outlineLevel="0" collapsed="false">
      <c r="A33" s="43" t="s">
        <v>3144</v>
      </c>
      <c r="B33" s="9" t="s">
        <v>3145</v>
      </c>
      <c r="C33" s="9" t="s">
        <v>118</v>
      </c>
      <c r="D33" s="9" t="s">
        <v>3146</v>
      </c>
      <c r="E33" s="9" t="s">
        <v>3054</v>
      </c>
      <c r="F33" s="9" t="s">
        <v>3147</v>
      </c>
      <c r="G33" s="9" t="s">
        <v>3148</v>
      </c>
      <c r="H33" s="44" t="s">
        <v>3149</v>
      </c>
      <c r="I33" s="9" t="s">
        <v>3150</v>
      </c>
    </row>
    <row r="34" customFormat="false" ht="53.25" hidden="false" customHeight="true" outlineLevel="0" collapsed="false">
      <c r="A34" s="43" t="s">
        <v>3151</v>
      </c>
      <c r="B34" s="9" t="s">
        <v>3152</v>
      </c>
      <c r="C34" s="9" t="s">
        <v>3153</v>
      </c>
      <c r="D34" s="9" t="s">
        <v>3154</v>
      </c>
      <c r="E34" s="9" t="s">
        <v>3054</v>
      </c>
      <c r="F34" s="9" t="s">
        <v>3155</v>
      </c>
      <c r="G34" s="9" t="s">
        <v>3148</v>
      </c>
      <c r="H34" s="44" t="s">
        <v>3156</v>
      </c>
      <c r="I34" s="9" t="s">
        <v>3157</v>
      </c>
    </row>
    <row r="35" customFormat="false" ht="32.25" hidden="false" customHeight="true" outlineLevel="0" collapsed="false">
      <c r="A35" s="43" t="s">
        <v>3158</v>
      </c>
      <c r="B35" s="9" t="s">
        <v>3031</v>
      </c>
      <c r="C35" s="9" t="s">
        <v>3032</v>
      </c>
      <c r="D35" s="9" t="s">
        <v>3159</v>
      </c>
      <c r="E35" s="9" t="s">
        <v>3160</v>
      </c>
      <c r="F35" s="9" t="s">
        <v>3160</v>
      </c>
      <c r="G35" s="9" t="s">
        <v>3028</v>
      </c>
      <c r="H35" s="44" t="s">
        <v>3161</v>
      </c>
      <c r="I35" s="9" t="s">
        <v>3162</v>
      </c>
    </row>
    <row r="36" customFormat="false" ht="32.25" hidden="false" customHeight="true" outlineLevel="0" collapsed="false">
      <c r="A36" s="43" t="s">
        <v>3163</v>
      </c>
      <c r="B36" s="9" t="s">
        <v>3145</v>
      </c>
      <c r="C36" s="9" t="s">
        <v>118</v>
      </c>
      <c r="D36" s="9" t="s">
        <v>3164</v>
      </c>
      <c r="E36" s="9" t="s">
        <v>3054</v>
      </c>
      <c r="F36" s="9" t="s">
        <v>3165</v>
      </c>
      <c r="G36" s="9" t="s">
        <v>3148</v>
      </c>
      <c r="H36" s="44" t="s">
        <v>3166</v>
      </c>
      <c r="I36" s="9" t="s">
        <v>3167</v>
      </c>
    </row>
    <row r="37" customFormat="false" ht="42.75" hidden="false" customHeight="true" outlineLevel="0" collapsed="false">
      <c r="A37" s="43" t="s">
        <v>3168</v>
      </c>
      <c r="B37" s="9" t="s">
        <v>3145</v>
      </c>
      <c r="C37" s="9" t="s">
        <v>118</v>
      </c>
      <c r="D37" s="9" t="s">
        <v>3169</v>
      </c>
      <c r="E37" s="9" t="s">
        <v>3054</v>
      </c>
      <c r="F37" s="9" t="s">
        <v>3170</v>
      </c>
      <c r="G37" s="9" t="s">
        <v>3148</v>
      </c>
      <c r="H37" s="44" t="s">
        <v>3171</v>
      </c>
      <c r="I37" s="9" t="s">
        <v>3172</v>
      </c>
    </row>
    <row r="38" customFormat="false" ht="32.25" hidden="false" customHeight="true" outlineLevel="0" collapsed="false">
      <c r="A38" s="43" t="s">
        <v>3173</v>
      </c>
      <c r="B38" s="9" t="s">
        <v>3145</v>
      </c>
      <c r="C38" s="9" t="s">
        <v>118</v>
      </c>
      <c r="D38" s="9" t="s">
        <v>3174</v>
      </c>
      <c r="E38" s="9" t="s">
        <v>3054</v>
      </c>
      <c r="F38" s="9" t="s">
        <v>3175</v>
      </c>
      <c r="G38" s="9" t="s">
        <v>3148</v>
      </c>
      <c r="H38" s="44" t="s">
        <v>118</v>
      </c>
      <c r="I38" s="9" t="s">
        <v>3176</v>
      </c>
    </row>
    <row r="39" customFormat="false" ht="42.75" hidden="false" customHeight="true" outlineLevel="0" collapsed="false">
      <c r="A39" s="43" t="s">
        <v>3177</v>
      </c>
      <c r="B39" s="9" t="s">
        <v>3145</v>
      </c>
      <c r="C39" s="9" t="s">
        <v>118</v>
      </c>
      <c r="D39" s="9" t="s">
        <v>3178</v>
      </c>
      <c r="E39" s="9" t="s">
        <v>3054</v>
      </c>
      <c r="F39" s="9" t="s">
        <v>3179</v>
      </c>
      <c r="G39" s="9" t="s">
        <v>3148</v>
      </c>
      <c r="H39" s="44" t="s">
        <v>3180</v>
      </c>
      <c r="I39" s="9" t="s">
        <v>3181</v>
      </c>
    </row>
    <row r="40" customFormat="false" ht="42.75" hidden="false" customHeight="true" outlineLevel="0" collapsed="false">
      <c r="A40" s="43" t="s">
        <v>3182</v>
      </c>
      <c r="B40" s="9" t="s">
        <v>3183</v>
      </c>
      <c r="C40" s="9" t="s">
        <v>3184</v>
      </c>
      <c r="D40" s="9" t="s">
        <v>3185</v>
      </c>
      <c r="E40" s="9" t="s">
        <v>3186</v>
      </c>
      <c r="F40" s="9" t="s">
        <v>3187</v>
      </c>
      <c r="G40" s="9" t="s">
        <v>2960</v>
      </c>
      <c r="H40" s="44" t="s">
        <v>3188</v>
      </c>
      <c r="I40" s="9" t="s">
        <v>3189</v>
      </c>
    </row>
    <row r="41" customFormat="false" ht="32.25" hidden="false" customHeight="true" outlineLevel="0" collapsed="false">
      <c r="A41" s="43" t="s">
        <v>3190</v>
      </c>
      <c r="B41" s="9" t="s">
        <v>3145</v>
      </c>
      <c r="C41" s="9" t="s">
        <v>118</v>
      </c>
      <c r="D41" s="9" t="s">
        <v>3191</v>
      </c>
      <c r="E41" s="9" t="s">
        <v>3054</v>
      </c>
      <c r="F41" s="9" t="s">
        <v>3175</v>
      </c>
      <c r="G41" s="9" t="s">
        <v>3148</v>
      </c>
      <c r="H41" s="44" t="s">
        <v>118</v>
      </c>
      <c r="I41" s="9" t="s">
        <v>3192</v>
      </c>
    </row>
    <row r="42" customFormat="false" ht="42.75" hidden="false" customHeight="true" outlineLevel="0" collapsed="false">
      <c r="A42" s="43" t="s">
        <v>3193</v>
      </c>
      <c r="B42" s="9" t="s">
        <v>3194</v>
      </c>
      <c r="C42" s="9" t="s">
        <v>3064</v>
      </c>
      <c r="D42" s="9" t="s">
        <v>3195</v>
      </c>
      <c r="E42" s="9" t="s">
        <v>3054</v>
      </c>
      <c r="F42" s="9" t="s">
        <v>3196</v>
      </c>
      <c r="G42" s="9" t="s">
        <v>3028</v>
      </c>
      <c r="H42" s="44" t="s">
        <v>3197</v>
      </c>
      <c r="I42" s="9" t="s">
        <v>3198</v>
      </c>
    </row>
    <row r="43" customFormat="false" ht="21.75" hidden="false" customHeight="true" outlineLevel="0" collapsed="false">
      <c r="A43" s="43" t="s">
        <v>3199</v>
      </c>
      <c r="B43" s="9" t="s">
        <v>3145</v>
      </c>
      <c r="C43" s="9" t="s">
        <v>118</v>
      </c>
      <c r="D43" s="9" t="s">
        <v>3174</v>
      </c>
      <c r="E43" s="9" t="s">
        <v>3054</v>
      </c>
      <c r="F43" s="9" t="s">
        <v>3175</v>
      </c>
      <c r="G43" s="9" t="s">
        <v>3148</v>
      </c>
      <c r="H43" s="44" t="s">
        <v>118</v>
      </c>
      <c r="I43" s="9" t="s">
        <v>3200</v>
      </c>
    </row>
    <row r="44" customFormat="false" ht="32.25" hidden="false" customHeight="true" outlineLevel="0" collapsed="false">
      <c r="A44" s="43" t="s">
        <v>3201</v>
      </c>
      <c r="B44" s="9" t="s">
        <v>3145</v>
      </c>
      <c r="C44" s="9" t="s">
        <v>118</v>
      </c>
      <c r="D44" s="9" t="s">
        <v>3202</v>
      </c>
      <c r="E44" s="9" t="s">
        <v>3054</v>
      </c>
      <c r="F44" s="9" t="s">
        <v>3203</v>
      </c>
      <c r="G44" s="9" t="s">
        <v>3148</v>
      </c>
      <c r="H44" s="44" t="s">
        <v>118</v>
      </c>
      <c r="I44" s="9" t="s">
        <v>3204</v>
      </c>
    </row>
    <row r="45" customFormat="false" ht="42.75" hidden="false" customHeight="true" outlineLevel="0" collapsed="false">
      <c r="A45" s="43" t="s">
        <v>3205</v>
      </c>
      <c r="B45" s="9" t="s">
        <v>3206</v>
      </c>
      <c r="C45" s="9" t="s">
        <v>3207</v>
      </c>
      <c r="D45" s="9" t="s">
        <v>3208</v>
      </c>
      <c r="E45" s="9" t="s">
        <v>3054</v>
      </c>
      <c r="F45" s="9" t="s">
        <v>3209</v>
      </c>
      <c r="G45" s="9" t="s">
        <v>3028</v>
      </c>
      <c r="H45" s="44" t="s">
        <v>3210</v>
      </c>
      <c r="I45" s="9" t="s">
        <v>3211</v>
      </c>
    </row>
    <row r="46" customFormat="false" ht="42.75" hidden="false" customHeight="true" outlineLevel="0" collapsed="false">
      <c r="A46" s="43" t="s">
        <v>3212</v>
      </c>
      <c r="B46" s="9" t="s">
        <v>3213</v>
      </c>
      <c r="C46" s="9" t="s">
        <v>3214</v>
      </c>
      <c r="D46" s="9" t="s">
        <v>3215</v>
      </c>
      <c r="E46" s="9" t="s">
        <v>3054</v>
      </c>
      <c r="F46" s="9" t="s">
        <v>3216</v>
      </c>
      <c r="G46" s="9" t="s">
        <v>2968</v>
      </c>
      <c r="H46" s="44" t="s">
        <v>3217</v>
      </c>
      <c r="I46" s="9" t="s">
        <v>3218</v>
      </c>
    </row>
    <row r="47" customFormat="false" ht="53.25" hidden="false" customHeight="true" outlineLevel="0" collapsed="false">
      <c r="A47" s="43" t="s">
        <v>3219</v>
      </c>
      <c r="B47" s="9" t="s">
        <v>3220</v>
      </c>
      <c r="C47" s="9" t="s">
        <v>3221</v>
      </c>
      <c r="D47" s="9" t="s">
        <v>3222</v>
      </c>
      <c r="E47" s="9" t="s">
        <v>3223</v>
      </c>
      <c r="F47" s="9" t="s">
        <v>3224</v>
      </c>
      <c r="G47" s="9" t="s">
        <v>2952</v>
      </c>
      <c r="H47" s="44" t="s">
        <v>3225</v>
      </c>
      <c r="I47" s="9" t="s">
        <v>3226</v>
      </c>
    </row>
    <row r="48" customFormat="false" ht="63.75" hidden="false" customHeight="true" outlineLevel="0" collapsed="false">
      <c r="A48" s="43" t="s">
        <v>3227</v>
      </c>
      <c r="B48" s="9" t="s">
        <v>3228</v>
      </c>
      <c r="C48" s="9" t="s">
        <v>3229</v>
      </c>
      <c r="D48" s="9" t="s">
        <v>3230</v>
      </c>
      <c r="E48" s="9" t="s">
        <v>3054</v>
      </c>
      <c r="F48" s="9" t="s">
        <v>3231</v>
      </c>
      <c r="G48" s="9" t="s">
        <v>3097</v>
      </c>
      <c r="H48" s="44" t="s">
        <v>3232</v>
      </c>
      <c r="I48" s="9" t="s">
        <v>3233</v>
      </c>
    </row>
    <row r="49" customFormat="false" ht="63.75" hidden="false" customHeight="true" outlineLevel="0" collapsed="false">
      <c r="A49" s="43" t="s">
        <v>3234</v>
      </c>
      <c r="B49" s="9" t="s">
        <v>3235</v>
      </c>
      <c r="C49" s="9" t="s">
        <v>3236</v>
      </c>
      <c r="D49" s="9" t="s">
        <v>3237</v>
      </c>
      <c r="E49" s="9" t="s">
        <v>3054</v>
      </c>
      <c r="F49" s="9" t="s">
        <v>3238</v>
      </c>
      <c r="G49" s="9" t="s">
        <v>3028</v>
      </c>
      <c r="H49" s="44" t="s">
        <v>3239</v>
      </c>
      <c r="I49" s="9" t="s">
        <v>3240</v>
      </c>
    </row>
    <row r="50" customFormat="false" ht="21.75" hidden="false" customHeight="true" outlineLevel="0" collapsed="false">
      <c r="A50" s="43" t="s">
        <v>3241</v>
      </c>
      <c r="B50" s="9" t="s">
        <v>3145</v>
      </c>
      <c r="C50" s="9" t="s">
        <v>118</v>
      </c>
      <c r="D50" s="9" t="s">
        <v>3242</v>
      </c>
      <c r="E50" s="9" t="s">
        <v>3054</v>
      </c>
      <c r="F50" s="9" t="s">
        <v>3175</v>
      </c>
      <c r="G50" s="9" t="s">
        <v>3148</v>
      </c>
      <c r="H50" s="44" t="s">
        <v>118</v>
      </c>
      <c r="I50" s="9" t="s">
        <v>3243</v>
      </c>
    </row>
    <row r="51" customFormat="false" ht="42.75" hidden="false" customHeight="true" outlineLevel="0" collapsed="false">
      <c r="A51" s="43" t="s">
        <v>3244</v>
      </c>
      <c r="B51" s="9" t="s">
        <v>3245</v>
      </c>
      <c r="C51" s="9" t="s">
        <v>3246</v>
      </c>
      <c r="D51" s="9" t="s">
        <v>3247</v>
      </c>
      <c r="E51" s="9" t="s">
        <v>3054</v>
      </c>
      <c r="F51" s="9" t="s">
        <v>3248</v>
      </c>
      <c r="G51" s="9" t="s">
        <v>3028</v>
      </c>
      <c r="H51" s="44" t="s">
        <v>3249</v>
      </c>
      <c r="I51" s="9" t="s">
        <v>3250</v>
      </c>
    </row>
    <row r="52" customFormat="false" ht="32.25" hidden="false" customHeight="true" outlineLevel="0" collapsed="false">
      <c r="A52" s="43" t="s">
        <v>3251</v>
      </c>
      <c r="B52" s="9" t="s">
        <v>3252</v>
      </c>
      <c r="C52" s="9" t="s">
        <v>3064</v>
      </c>
      <c r="D52" s="9" t="s">
        <v>3253</v>
      </c>
      <c r="E52" s="9" t="s">
        <v>3054</v>
      </c>
      <c r="F52" s="9" t="s">
        <v>3254</v>
      </c>
      <c r="G52" s="9" t="s">
        <v>3028</v>
      </c>
      <c r="H52" s="44" t="s">
        <v>3255</v>
      </c>
      <c r="I52" s="9" t="s">
        <v>3256</v>
      </c>
    </row>
    <row r="53" customFormat="false" ht="32.25" hidden="false" customHeight="true" outlineLevel="0" collapsed="false">
      <c r="A53" s="43" t="s">
        <v>3257</v>
      </c>
      <c r="B53" s="9" t="s">
        <v>3258</v>
      </c>
      <c r="C53" s="9" t="s">
        <v>3064</v>
      </c>
      <c r="D53" s="9" t="s">
        <v>3259</v>
      </c>
      <c r="E53" s="9" t="s">
        <v>3054</v>
      </c>
      <c r="F53" s="9" t="s">
        <v>3260</v>
      </c>
      <c r="G53" s="9" t="s">
        <v>3028</v>
      </c>
      <c r="H53" s="44" t="s">
        <v>3261</v>
      </c>
      <c r="I53" s="9" t="s">
        <v>3262</v>
      </c>
    </row>
    <row r="54" customFormat="false" ht="53.25" hidden="false" customHeight="true" outlineLevel="0" collapsed="false">
      <c r="A54" s="43" t="s">
        <v>3263</v>
      </c>
      <c r="B54" s="9" t="s">
        <v>3264</v>
      </c>
      <c r="C54" s="9" t="s">
        <v>3265</v>
      </c>
      <c r="D54" s="9" t="s">
        <v>3266</v>
      </c>
      <c r="E54" s="9" t="s">
        <v>3267</v>
      </c>
      <c r="F54" s="9" t="s">
        <v>3268</v>
      </c>
      <c r="G54" s="9" t="s">
        <v>2968</v>
      </c>
      <c r="H54" s="44" t="s">
        <v>3269</v>
      </c>
      <c r="I54" s="9" t="s">
        <v>3270</v>
      </c>
    </row>
    <row r="55" customFormat="false" ht="32.25" hidden="false" customHeight="true" outlineLevel="0" collapsed="false">
      <c r="A55" s="43" t="s">
        <v>3271</v>
      </c>
      <c r="B55" s="9" t="s">
        <v>3145</v>
      </c>
      <c r="C55" s="9" t="s">
        <v>118</v>
      </c>
      <c r="D55" s="9" t="s">
        <v>3272</v>
      </c>
      <c r="E55" s="9" t="s">
        <v>3054</v>
      </c>
      <c r="F55" s="9" t="s">
        <v>3273</v>
      </c>
      <c r="G55" s="9" t="s">
        <v>3148</v>
      </c>
      <c r="H55" s="44" t="s">
        <v>3274</v>
      </c>
      <c r="I55" s="9" t="s">
        <v>3275</v>
      </c>
    </row>
    <row r="56" customFormat="false" ht="42.75" hidden="false" customHeight="true" outlineLevel="0" collapsed="false">
      <c r="A56" s="43" t="s">
        <v>3276</v>
      </c>
      <c r="B56" s="9" t="s">
        <v>3145</v>
      </c>
      <c r="C56" s="9" t="s">
        <v>118</v>
      </c>
      <c r="D56" s="9" t="s">
        <v>3277</v>
      </c>
      <c r="E56" s="9" t="s">
        <v>3054</v>
      </c>
      <c r="F56" s="9" t="s">
        <v>3175</v>
      </c>
      <c r="G56" s="9" t="s">
        <v>3148</v>
      </c>
      <c r="H56" s="44" t="s">
        <v>118</v>
      </c>
      <c r="I56" s="9" t="s">
        <v>3278</v>
      </c>
    </row>
    <row r="57" customFormat="false" ht="32.25" hidden="false" customHeight="true" outlineLevel="0" collapsed="false">
      <c r="A57" s="43" t="s">
        <v>3279</v>
      </c>
      <c r="B57" s="9" t="s">
        <v>3145</v>
      </c>
      <c r="C57" s="9" t="s">
        <v>118</v>
      </c>
      <c r="D57" s="9" t="s">
        <v>3280</v>
      </c>
      <c r="E57" s="9" t="s">
        <v>3054</v>
      </c>
      <c r="F57" s="9" t="s">
        <v>3175</v>
      </c>
      <c r="G57" s="9" t="s">
        <v>3148</v>
      </c>
      <c r="H57" s="44" t="s">
        <v>118</v>
      </c>
      <c r="I57" s="9" t="s">
        <v>3281</v>
      </c>
    </row>
    <row r="58" customFormat="false" ht="53.25" hidden="false" customHeight="true" outlineLevel="0" collapsed="false">
      <c r="A58" s="43" t="s">
        <v>3282</v>
      </c>
      <c r="B58" s="9" t="s">
        <v>3283</v>
      </c>
      <c r="C58" s="9" t="s">
        <v>3284</v>
      </c>
      <c r="D58" s="9" t="s">
        <v>3285</v>
      </c>
      <c r="E58" s="9" t="s">
        <v>3054</v>
      </c>
      <c r="F58" s="9" t="s">
        <v>3286</v>
      </c>
      <c r="G58" s="9" t="s">
        <v>3028</v>
      </c>
      <c r="H58" s="44" t="s">
        <v>3287</v>
      </c>
      <c r="I58" s="9" t="s">
        <v>3288</v>
      </c>
    </row>
    <row r="59" customFormat="false" ht="53.25" hidden="false" customHeight="true" outlineLevel="0" collapsed="false">
      <c r="A59" s="43" t="s">
        <v>3289</v>
      </c>
      <c r="B59" s="9" t="s">
        <v>3290</v>
      </c>
      <c r="C59" s="9" t="s">
        <v>3120</v>
      </c>
      <c r="D59" s="9" t="s">
        <v>3291</v>
      </c>
      <c r="E59" s="9" t="s">
        <v>3102</v>
      </c>
      <c r="F59" s="9" t="s">
        <v>3292</v>
      </c>
      <c r="G59" s="9" t="s">
        <v>2960</v>
      </c>
      <c r="H59" s="44" t="s">
        <v>3293</v>
      </c>
      <c r="I59" s="9" t="s">
        <v>3294</v>
      </c>
    </row>
    <row r="60" customFormat="false" ht="32.25" hidden="false" customHeight="true" outlineLevel="0" collapsed="false">
      <c r="A60" s="43" t="s">
        <v>3295</v>
      </c>
      <c r="B60" s="9" t="s">
        <v>3296</v>
      </c>
      <c r="C60" s="9" t="s">
        <v>118</v>
      </c>
      <c r="D60" s="9" t="s">
        <v>3297</v>
      </c>
      <c r="E60" s="9" t="s">
        <v>3054</v>
      </c>
      <c r="F60" s="9" t="s">
        <v>3298</v>
      </c>
      <c r="G60" s="9" t="s">
        <v>3148</v>
      </c>
      <c r="H60" s="44" t="s">
        <v>871</v>
      </c>
      <c r="I60" s="9" t="s">
        <v>3299</v>
      </c>
    </row>
    <row r="61" customFormat="false" ht="53.25" hidden="false" customHeight="true" outlineLevel="0" collapsed="false">
      <c r="A61" s="43" t="s">
        <v>3300</v>
      </c>
      <c r="B61" s="9" t="s">
        <v>3301</v>
      </c>
      <c r="C61" s="9" t="s">
        <v>3302</v>
      </c>
      <c r="D61" s="9" t="s">
        <v>3303</v>
      </c>
      <c r="E61" s="9" t="s">
        <v>3054</v>
      </c>
      <c r="F61" s="9" t="s">
        <v>3304</v>
      </c>
      <c r="G61" s="9" t="s">
        <v>3097</v>
      </c>
      <c r="H61" s="44" t="s">
        <v>3305</v>
      </c>
      <c r="I61" s="9" t="s">
        <v>3306</v>
      </c>
    </row>
    <row r="62" customFormat="false" ht="32.25" hidden="false" customHeight="true" outlineLevel="0" collapsed="false">
      <c r="A62" s="43" t="s">
        <v>3307</v>
      </c>
      <c r="B62" s="9" t="s">
        <v>3308</v>
      </c>
      <c r="C62" s="9" t="s">
        <v>3309</v>
      </c>
      <c r="D62" s="9" t="s">
        <v>3310</v>
      </c>
      <c r="E62" s="9" t="s">
        <v>3054</v>
      </c>
      <c r="F62" s="9" t="s">
        <v>3311</v>
      </c>
      <c r="G62" s="9" t="s">
        <v>3097</v>
      </c>
      <c r="H62" s="44" t="s">
        <v>3312</v>
      </c>
      <c r="I62" s="9" t="s">
        <v>3313</v>
      </c>
    </row>
    <row r="63" customFormat="false" ht="21.75" hidden="false" customHeight="true" outlineLevel="0" collapsed="false">
      <c r="A63" s="43" t="s">
        <v>3314</v>
      </c>
      <c r="B63" s="9" t="s">
        <v>3145</v>
      </c>
      <c r="C63" s="9" t="s">
        <v>118</v>
      </c>
      <c r="D63" s="9" t="s">
        <v>3174</v>
      </c>
      <c r="E63" s="9" t="s">
        <v>3054</v>
      </c>
      <c r="F63" s="9" t="s">
        <v>3175</v>
      </c>
      <c r="G63" s="9" t="s">
        <v>3148</v>
      </c>
      <c r="H63" s="44" t="s">
        <v>118</v>
      </c>
      <c r="I63" s="9" t="s">
        <v>3315</v>
      </c>
    </row>
    <row r="64" customFormat="false" ht="21.75" hidden="false" customHeight="true" outlineLevel="0" collapsed="false">
      <c r="A64" s="43" t="s">
        <v>3316</v>
      </c>
      <c r="B64" s="9" t="s">
        <v>3145</v>
      </c>
      <c r="C64" s="9" t="s">
        <v>118</v>
      </c>
      <c r="D64" s="9" t="s">
        <v>3174</v>
      </c>
      <c r="E64" s="9" t="s">
        <v>3054</v>
      </c>
      <c r="F64" s="9" t="s">
        <v>3175</v>
      </c>
      <c r="G64" s="9" t="s">
        <v>3148</v>
      </c>
      <c r="H64" s="44" t="s">
        <v>118</v>
      </c>
      <c r="I64" s="9" t="s">
        <v>3317</v>
      </c>
    </row>
    <row r="65" customFormat="false" ht="21.75" hidden="false" customHeight="true" outlineLevel="0" collapsed="false">
      <c r="A65" s="43" t="s">
        <v>3318</v>
      </c>
      <c r="B65" s="9" t="s">
        <v>3145</v>
      </c>
      <c r="C65" s="9" t="s">
        <v>118</v>
      </c>
      <c r="D65" s="9" t="s">
        <v>3174</v>
      </c>
      <c r="E65" s="9" t="s">
        <v>3054</v>
      </c>
      <c r="F65" s="9" t="s">
        <v>3175</v>
      </c>
      <c r="G65" s="9" t="s">
        <v>3148</v>
      </c>
      <c r="H65" s="44" t="s">
        <v>118</v>
      </c>
      <c r="I65" s="9" t="s">
        <v>3319</v>
      </c>
    </row>
    <row r="66" customFormat="false" ht="63.75" hidden="false" customHeight="true" outlineLevel="0" collapsed="false">
      <c r="A66" s="43" t="s">
        <v>3320</v>
      </c>
      <c r="B66" s="9" t="s">
        <v>3321</v>
      </c>
      <c r="C66" s="9" t="s">
        <v>3110</v>
      </c>
      <c r="D66" s="9" t="s">
        <v>3322</v>
      </c>
      <c r="E66" s="9" t="s">
        <v>3054</v>
      </c>
      <c r="F66" s="9" t="s">
        <v>3323</v>
      </c>
      <c r="G66" s="9" t="s">
        <v>3028</v>
      </c>
      <c r="H66" s="44" t="s">
        <v>3324</v>
      </c>
      <c r="I66" s="9" t="s">
        <v>3325</v>
      </c>
    </row>
    <row r="67" customFormat="false" ht="42.75" hidden="false" customHeight="true" outlineLevel="0" collapsed="false">
      <c r="A67" s="43" t="s">
        <v>3326</v>
      </c>
      <c r="B67" s="9" t="s">
        <v>3145</v>
      </c>
      <c r="C67" s="9" t="s">
        <v>118</v>
      </c>
      <c r="D67" s="9" t="s">
        <v>3327</v>
      </c>
      <c r="E67" s="9" t="s">
        <v>3054</v>
      </c>
      <c r="F67" s="9" t="s">
        <v>3328</v>
      </c>
      <c r="G67" s="9" t="s">
        <v>3148</v>
      </c>
      <c r="H67" s="44" t="s">
        <v>3329</v>
      </c>
      <c r="I67" s="9" t="s">
        <v>3330</v>
      </c>
    </row>
    <row r="68" customFormat="false" ht="42.75" hidden="false" customHeight="true" outlineLevel="0" collapsed="false">
      <c r="A68" s="43" t="s">
        <v>3331</v>
      </c>
      <c r="B68" s="9" t="s">
        <v>3093</v>
      </c>
      <c r="C68" s="9" t="s">
        <v>3332</v>
      </c>
      <c r="D68" s="9" t="s">
        <v>3333</v>
      </c>
      <c r="E68" s="9" t="s">
        <v>3334</v>
      </c>
      <c r="F68" s="9" t="s">
        <v>3334</v>
      </c>
      <c r="G68" s="9" t="s">
        <v>3097</v>
      </c>
      <c r="H68" s="44" t="s">
        <v>231</v>
      </c>
      <c r="I68" s="9" t="s">
        <v>3335</v>
      </c>
    </row>
    <row r="69" customFormat="false" ht="32.25" hidden="false" customHeight="true" outlineLevel="0" collapsed="false">
      <c r="A69" s="43" t="s">
        <v>3336</v>
      </c>
      <c r="B69" s="9" t="s">
        <v>3086</v>
      </c>
      <c r="C69" s="9" t="s">
        <v>3229</v>
      </c>
      <c r="D69" s="9" t="s">
        <v>3337</v>
      </c>
      <c r="E69" s="9" t="s">
        <v>3338</v>
      </c>
      <c r="F69" s="9" t="s">
        <v>3338</v>
      </c>
      <c r="G69" s="9" t="s">
        <v>2998</v>
      </c>
      <c r="H69" s="44" t="s">
        <v>229</v>
      </c>
      <c r="I69" s="9" t="s">
        <v>3339</v>
      </c>
    </row>
    <row r="70" customFormat="false" ht="42.75" hidden="false" customHeight="true" outlineLevel="0" collapsed="false">
      <c r="A70" s="45" t="s">
        <v>3340</v>
      </c>
      <c r="B70" s="15" t="s">
        <v>2971</v>
      </c>
      <c r="C70" s="15" t="s">
        <v>2972</v>
      </c>
      <c r="D70" s="15" t="s">
        <v>3341</v>
      </c>
      <c r="E70" s="15" t="s">
        <v>3342</v>
      </c>
      <c r="F70" s="15" t="s">
        <v>3342</v>
      </c>
      <c r="G70" s="15" t="s">
        <v>2976</v>
      </c>
      <c r="H70" s="46" t="s">
        <v>130</v>
      </c>
      <c r="I70" s="15" t="s">
        <v>3343</v>
      </c>
    </row>
    <row r="72" customFormat="false" ht="57.75" hidden="false" customHeight="true" outlineLevel="0" collapsed="false">
      <c r="A72" s="39" t="s">
        <v>3344</v>
      </c>
      <c r="B72" s="39"/>
      <c r="C72" s="39"/>
      <c r="D72" s="39"/>
      <c r="E72" s="39"/>
      <c r="F72" s="39"/>
      <c r="G72" s="39"/>
      <c r="H72" s="39"/>
      <c r="I72" s="39"/>
    </row>
  </sheetData>
  <mergeCells count="1">
    <mergeCell ref="A72:I72"/>
  </mergeCells>
  <dataValidations count="1">
    <dataValidation allowBlank="false" error="Use one of the eleven values in the legend at the foot of this sheet." errorStyle="stop" errorTitle="Core discipline" operator="between" prompt="Pick one standardized value." promptTitle="Core discipline" showDropDown="false" showErrorMessage="false" showInputMessage="false" sqref="G2:G70" type="list">
      <formula1>"Wine Engineer,Agronomy / Horticulture,Engineering,Finance / Economics,Marketing / Sales,Law,Medicine,Academia,Entrepreneur / Owner,General Management,Not established"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1"/>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D14" activeCellId="0" sqref="D14"/>
    </sheetView>
  </sheetViews>
  <sheetFormatPr defaultColWidth="8.83203125" defaultRowHeight="13.5" zeroHeight="false" outlineLevelRow="0" outlineLevelCol="0"/>
  <cols>
    <col collapsed="false" customWidth="true" hidden="false" outlineLevel="0" max="1" min="1" style="1" width="28"/>
    <col collapsed="false" customWidth="true" hidden="false" outlineLevel="0" max="2" min="2" style="1" width="23"/>
    <col collapsed="false" customWidth="true" hidden="false" outlineLevel="0" max="3" min="3" style="1" width="12"/>
    <col collapsed="false" customWidth="true" hidden="false" outlineLevel="0" max="4" min="4" style="1" width="34"/>
    <col collapsed="false" customWidth="true" hidden="false" outlineLevel="0" max="5" min="5" style="1" width="25"/>
    <col collapsed="false" customWidth="true" hidden="false" outlineLevel="0" max="6" min="6" style="1" width="13"/>
    <col collapsed="false" customWidth="true" hidden="false" outlineLevel="0" max="7" min="7" style="1" width="48"/>
    <col collapsed="false" customWidth="true" hidden="false" outlineLevel="0" max="9" min="9" style="1" width="28"/>
    <col collapsed="false" customWidth="true" hidden="false" outlineLevel="0" max="10" min="10" style="1" width="10"/>
    <col collapsed="false" customWidth="true" hidden="false" outlineLevel="0" max="11" min="11" style="1" width="3"/>
    <col collapsed="false" customWidth="true" hidden="false" outlineLevel="0" max="12" min="12" style="1" width="31"/>
    <col collapsed="false" customWidth="true" hidden="false" outlineLevel="0" max="13" min="13" style="1" width="10"/>
  </cols>
  <sheetData>
    <row r="1" customFormat="false" ht="24" hidden="false" customHeight="true" outlineLevel="0" collapsed="false">
      <c r="A1" s="40" t="s">
        <v>0</v>
      </c>
      <c r="B1" s="22" t="s">
        <v>3345</v>
      </c>
      <c r="C1" s="40" t="s">
        <v>3346</v>
      </c>
      <c r="D1" s="40" t="s">
        <v>3347</v>
      </c>
      <c r="E1" s="40" t="s">
        <v>68</v>
      </c>
      <c r="F1" s="40" t="s">
        <v>3348</v>
      </c>
      <c r="G1" s="40" t="s">
        <v>73</v>
      </c>
      <c r="I1" s="47" t="s">
        <v>3349</v>
      </c>
      <c r="J1" s="47" t="s">
        <v>3350</v>
      </c>
    </row>
    <row r="2" customFormat="false" ht="21.75" hidden="false" customHeight="true" outlineLevel="0" collapsed="false">
      <c r="A2" s="48" t="s">
        <v>3351</v>
      </c>
      <c r="B2" s="48" t="s">
        <v>3352</v>
      </c>
      <c r="C2" s="49" t="s">
        <v>9</v>
      </c>
      <c r="D2" s="49" t="s">
        <v>3353</v>
      </c>
      <c r="E2" s="49" t="s">
        <v>3354</v>
      </c>
      <c r="F2" s="49" t="s">
        <v>3355</v>
      </c>
      <c r="G2" s="50" t="s">
        <v>3356</v>
      </c>
      <c r="I2" s="51" t="s">
        <v>9</v>
      </c>
      <c r="J2" s="52" t="n">
        <f aca="false">COUNTIF($C$2:$C$101,"Marketing")</f>
        <v>34</v>
      </c>
    </row>
    <row r="3" customFormat="false" ht="21.75" hidden="false" customHeight="true" outlineLevel="0" collapsed="false">
      <c r="A3" s="53" t="s">
        <v>3351</v>
      </c>
      <c r="B3" s="53" t="s">
        <v>3357</v>
      </c>
      <c r="C3" s="54" t="s">
        <v>9</v>
      </c>
      <c r="D3" s="54" t="s">
        <v>3358</v>
      </c>
      <c r="E3" s="54" t="s">
        <v>3359</v>
      </c>
      <c r="F3" s="54" t="s">
        <v>3360</v>
      </c>
      <c r="G3" s="55" t="s">
        <v>3361</v>
      </c>
      <c r="I3" s="51" t="s">
        <v>12</v>
      </c>
      <c r="J3" s="52" t="n">
        <f aca="false">COUNTIF($C$2:$C$101,"Sales")</f>
        <v>66</v>
      </c>
    </row>
    <row r="4" customFormat="false" ht="21.75" hidden="false" customHeight="true" outlineLevel="0" collapsed="false">
      <c r="A4" s="53" t="s">
        <v>18</v>
      </c>
      <c r="B4" s="53" t="s">
        <v>3362</v>
      </c>
      <c r="C4" s="54" t="s">
        <v>12</v>
      </c>
      <c r="D4" s="54" t="s">
        <v>3363</v>
      </c>
      <c r="E4" s="54" t="s">
        <v>3364</v>
      </c>
      <c r="F4" s="54" t="s">
        <v>3360</v>
      </c>
      <c r="G4" s="55" t="s">
        <v>3365</v>
      </c>
      <c r="I4" s="56" t="s">
        <v>1625</v>
      </c>
      <c r="J4" s="57" t="n">
        <f aca="false">SUM(J2:J3)</f>
        <v>100</v>
      </c>
    </row>
    <row r="5" customFormat="false" ht="21.75" hidden="false" customHeight="true" outlineLevel="0" collapsed="false">
      <c r="A5" s="53" t="s">
        <v>7</v>
      </c>
      <c r="B5" s="53" t="s">
        <v>3366</v>
      </c>
      <c r="C5" s="54" t="s">
        <v>9</v>
      </c>
      <c r="D5" s="54" t="s">
        <v>3367</v>
      </c>
      <c r="E5" s="54" t="s">
        <v>3354</v>
      </c>
      <c r="F5" s="54" t="s">
        <v>3355</v>
      </c>
      <c r="G5" s="55" t="s">
        <v>3368</v>
      </c>
      <c r="J5" s="58"/>
    </row>
    <row r="6" customFormat="false" ht="21.75" hidden="false" customHeight="true" outlineLevel="0" collapsed="false">
      <c r="A6" s="53" t="s">
        <v>7</v>
      </c>
      <c r="B6" s="53" t="s">
        <v>3369</v>
      </c>
      <c r="C6" s="54" t="s">
        <v>9</v>
      </c>
      <c r="D6" s="54" t="s">
        <v>3370</v>
      </c>
      <c r="E6" s="54" t="s">
        <v>3371</v>
      </c>
      <c r="F6" s="54" t="s">
        <v>3360</v>
      </c>
      <c r="G6" s="55" t="s">
        <v>3372</v>
      </c>
      <c r="I6" s="47" t="s">
        <v>3373</v>
      </c>
      <c r="J6" s="59" t="s">
        <v>3350</v>
      </c>
      <c r="L6" s="47" t="s">
        <v>3374</v>
      </c>
      <c r="M6" s="47" t="s">
        <v>3350</v>
      </c>
    </row>
    <row r="7" customFormat="false" ht="21.75" hidden="false" customHeight="true" outlineLevel="0" collapsed="false">
      <c r="A7" s="53" t="s">
        <v>7</v>
      </c>
      <c r="B7" s="53" t="s">
        <v>3375</v>
      </c>
      <c r="C7" s="54" t="s">
        <v>9</v>
      </c>
      <c r="D7" s="54" t="s">
        <v>3376</v>
      </c>
      <c r="E7" s="54" t="s">
        <v>3377</v>
      </c>
      <c r="F7" s="54" t="s">
        <v>3360</v>
      </c>
      <c r="G7" s="55" t="s">
        <v>3372</v>
      </c>
      <c r="I7" s="60" t="s">
        <v>3354</v>
      </c>
      <c r="J7" s="61" t="n">
        <f aca="false">COUNTIFS($C$2:$C$101,"Marketing",$E$2:$E$101,I7)</f>
        <v>12</v>
      </c>
      <c r="L7" s="60" t="s">
        <v>3378</v>
      </c>
      <c r="M7" s="61" t="n">
        <f aca="false">COUNTIFS($C$2:$C$101,"Sales",$E$2:$E$101,L7)</f>
        <v>10</v>
      </c>
    </row>
    <row r="8" customFormat="false" ht="21.75" hidden="false" customHeight="true" outlineLevel="0" collapsed="false">
      <c r="A8" s="53" t="s">
        <v>7</v>
      </c>
      <c r="B8" s="53" t="s">
        <v>3379</v>
      </c>
      <c r="C8" s="54" t="s">
        <v>9</v>
      </c>
      <c r="D8" s="54" t="s">
        <v>3380</v>
      </c>
      <c r="E8" s="54" t="s">
        <v>3377</v>
      </c>
      <c r="F8" s="54" t="s">
        <v>3360</v>
      </c>
      <c r="G8" s="55" t="s">
        <v>3381</v>
      </c>
      <c r="I8" s="60" t="s">
        <v>3371</v>
      </c>
      <c r="J8" s="61" t="n">
        <f aca="false">COUNTIFS($C$2:$C$101,"Marketing",$E$2:$E$101,I8)</f>
        <v>9</v>
      </c>
      <c r="L8" s="60" t="s">
        <v>3382</v>
      </c>
      <c r="M8" s="61" t="n">
        <f aca="false">COUNTIFS($C$2:$C$101,"Sales",$E$2:$E$101,L8)</f>
        <v>6</v>
      </c>
    </row>
    <row r="9" customFormat="false" ht="21.75" hidden="false" customHeight="true" outlineLevel="0" collapsed="false">
      <c r="A9" s="53" t="s">
        <v>7</v>
      </c>
      <c r="B9" s="53" t="s">
        <v>3383</v>
      </c>
      <c r="C9" s="54" t="s">
        <v>9</v>
      </c>
      <c r="D9" s="54" t="s">
        <v>3358</v>
      </c>
      <c r="E9" s="54" t="s">
        <v>3359</v>
      </c>
      <c r="F9" s="54" t="s">
        <v>3360</v>
      </c>
      <c r="G9" s="55" t="s">
        <v>3384</v>
      </c>
      <c r="I9" s="60" t="s">
        <v>3359</v>
      </c>
      <c r="J9" s="61" t="n">
        <f aca="false">COUNTIFS($C$2:$C$101,"Marketing",$E$2:$E$101,I9)</f>
        <v>5</v>
      </c>
      <c r="L9" s="60" t="s">
        <v>3364</v>
      </c>
      <c r="M9" s="61" t="n">
        <f aca="false">COUNTIFS($C$2:$C$101,"Sales",$E$2:$E$101,L9)</f>
        <v>25</v>
      </c>
    </row>
    <row r="10" customFormat="false" ht="21.75" hidden="false" customHeight="true" outlineLevel="0" collapsed="false">
      <c r="A10" s="53" t="s">
        <v>7</v>
      </c>
      <c r="B10" s="53" t="s">
        <v>3385</v>
      </c>
      <c r="C10" s="54" t="s">
        <v>9</v>
      </c>
      <c r="D10" s="54" t="s">
        <v>3386</v>
      </c>
      <c r="E10" s="54" t="s">
        <v>3359</v>
      </c>
      <c r="F10" s="54" t="s">
        <v>3360</v>
      </c>
      <c r="G10" s="55" t="s">
        <v>3384</v>
      </c>
      <c r="I10" s="60" t="s">
        <v>3387</v>
      </c>
      <c r="J10" s="61" t="n">
        <f aca="false">COUNTIFS($C$2:$C$101,"Marketing",$E$2:$E$101,I10)</f>
        <v>2</v>
      </c>
      <c r="L10" s="60" t="s">
        <v>3388</v>
      </c>
      <c r="M10" s="61" t="n">
        <f aca="false">COUNTIFS($C$2:$C$101,"Sales",$E$2:$E$101,L10)</f>
        <v>7</v>
      </c>
    </row>
    <row r="11" customFormat="false" ht="21.75" hidden="false" customHeight="true" outlineLevel="0" collapsed="false">
      <c r="A11" s="53" t="s">
        <v>7</v>
      </c>
      <c r="B11" s="53" t="s">
        <v>3389</v>
      </c>
      <c r="C11" s="54" t="s">
        <v>9</v>
      </c>
      <c r="D11" s="54" t="s">
        <v>3390</v>
      </c>
      <c r="E11" s="54" t="s">
        <v>3387</v>
      </c>
      <c r="F11" s="54" t="s">
        <v>3360</v>
      </c>
      <c r="G11" s="55" t="s">
        <v>3391</v>
      </c>
      <c r="I11" s="60" t="s">
        <v>3392</v>
      </c>
      <c r="J11" s="61" t="n">
        <f aca="false">COUNTIFS($C$2:$C$101,"Marketing",$E$2:$E$101,I11)</f>
        <v>2</v>
      </c>
      <c r="L11" s="60" t="s">
        <v>3393</v>
      </c>
      <c r="M11" s="61" t="n">
        <f aca="false">COUNTIFS($C$2:$C$101,"Sales",$E$2:$E$101,L11)</f>
        <v>4</v>
      </c>
    </row>
    <row r="12" customFormat="false" ht="21.75" hidden="false" customHeight="true" outlineLevel="0" collapsed="false">
      <c r="A12" s="53" t="s">
        <v>7</v>
      </c>
      <c r="B12" s="53" t="s">
        <v>3394</v>
      </c>
      <c r="C12" s="54" t="s">
        <v>9</v>
      </c>
      <c r="D12" s="54" t="s">
        <v>3390</v>
      </c>
      <c r="E12" s="54" t="s">
        <v>3387</v>
      </c>
      <c r="F12" s="54" t="s">
        <v>3360</v>
      </c>
      <c r="G12" s="55" t="s">
        <v>3384</v>
      </c>
      <c r="I12" s="60" t="s">
        <v>3395</v>
      </c>
      <c r="J12" s="61" t="n">
        <f aca="false">COUNTIFS($C$2:$C$101,"Marketing",$E$2:$E$101,I12)</f>
        <v>2</v>
      </c>
      <c r="L12" s="60" t="s">
        <v>3396</v>
      </c>
      <c r="M12" s="61" t="n">
        <f aca="false">COUNTIFS($C$2:$C$101,"Sales",$E$2:$E$101,L12)</f>
        <v>5</v>
      </c>
    </row>
    <row r="13" customFormat="false" ht="21.75" hidden="false" customHeight="true" outlineLevel="0" collapsed="false">
      <c r="A13" s="53" t="s">
        <v>7</v>
      </c>
      <c r="B13" s="53" t="s">
        <v>3397</v>
      </c>
      <c r="C13" s="54" t="s">
        <v>9</v>
      </c>
      <c r="D13" s="54" t="s">
        <v>109</v>
      </c>
      <c r="E13" s="54" t="s">
        <v>3371</v>
      </c>
      <c r="F13" s="54" t="s">
        <v>3360</v>
      </c>
      <c r="G13" s="55" t="s">
        <v>3398</v>
      </c>
      <c r="I13" s="62" t="s">
        <v>3377</v>
      </c>
      <c r="J13" s="63" t="n">
        <f aca="false">COUNTIFS($C$2:$C$101,"Marketing",$E$2:$E$101,I13)</f>
        <v>2</v>
      </c>
      <c r="L13" s="60" t="s">
        <v>3399</v>
      </c>
      <c r="M13" s="61" t="n">
        <f aca="false">COUNTIFS($C$2:$C$101,"Sales",$E$2:$E$101,L13)</f>
        <v>1</v>
      </c>
    </row>
    <row r="14" customFormat="false" ht="21.75" hidden="false" customHeight="true" outlineLevel="0" collapsed="false">
      <c r="A14" s="53" t="s">
        <v>7</v>
      </c>
      <c r="B14" s="53"/>
      <c r="C14" s="54" t="s">
        <v>12</v>
      </c>
      <c r="D14" s="54" t="s">
        <v>3400</v>
      </c>
      <c r="E14" s="54" t="s">
        <v>3396</v>
      </c>
      <c r="F14" s="54" t="s">
        <v>3355</v>
      </c>
      <c r="G14" s="55"/>
      <c r="L14" s="60" t="s">
        <v>3401</v>
      </c>
      <c r="M14" s="61" t="n">
        <f aca="false">COUNTIFS($C$2:$C$101,"Sales",$E$2:$E$101,L14)</f>
        <v>2</v>
      </c>
    </row>
    <row r="15" customFormat="false" ht="21.75" hidden="false" customHeight="true" outlineLevel="0" collapsed="false">
      <c r="A15" s="53" t="s">
        <v>7</v>
      </c>
      <c r="B15" s="53" t="s">
        <v>3402</v>
      </c>
      <c r="C15" s="54" t="s">
        <v>12</v>
      </c>
      <c r="D15" s="54" t="s">
        <v>3403</v>
      </c>
      <c r="E15" s="54" t="s">
        <v>3396</v>
      </c>
      <c r="F15" s="54" t="s">
        <v>3360</v>
      </c>
      <c r="G15" s="55" t="s">
        <v>3404</v>
      </c>
      <c r="L15" s="60" t="s">
        <v>21</v>
      </c>
      <c r="M15" s="61" t="n">
        <f aca="false">COUNTIFS($C$2:$C$101,"Sales",$E$2:$E$101,L15)</f>
        <v>1</v>
      </c>
    </row>
    <row r="16" customFormat="false" ht="21.75" hidden="false" customHeight="true" outlineLevel="0" collapsed="false">
      <c r="A16" s="53" t="s">
        <v>7</v>
      </c>
      <c r="B16" s="53" t="s">
        <v>3405</v>
      </c>
      <c r="C16" s="54" t="s">
        <v>12</v>
      </c>
      <c r="D16" s="54" t="s">
        <v>3406</v>
      </c>
      <c r="E16" s="54" t="s">
        <v>3364</v>
      </c>
      <c r="F16" s="54" t="s">
        <v>3360</v>
      </c>
      <c r="G16" s="55" t="s">
        <v>3407</v>
      </c>
      <c r="L16" s="60" t="s">
        <v>3408</v>
      </c>
      <c r="M16" s="61" t="n">
        <f aca="false">COUNTIFS($C$2:$C$101,"Sales",$E$2:$E$101,L16)</f>
        <v>1</v>
      </c>
    </row>
    <row r="17" customFormat="false" ht="21.75" hidden="false" customHeight="true" outlineLevel="0" collapsed="false">
      <c r="A17" s="53" t="s">
        <v>7</v>
      </c>
      <c r="B17" s="53" t="s">
        <v>3409</v>
      </c>
      <c r="C17" s="54" t="s">
        <v>12</v>
      </c>
      <c r="D17" s="54" t="s">
        <v>3410</v>
      </c>
      <c r="E17" s="54" t="s">
        <v>3411</v>
      </c>
      <c r="F17" s="54" t="s">
        <v>3412</v>
      </c>
      <c r="G17" s="55" t="s">
        <v>3407</v>
      </c>
      <c r="L17" s="62" t="s">
        <v>3411</v>
      </c>
      <c r="M17" s="63" t="n">
        <f aca="false">COUNTIFS($C$2:$C$101,"Sales",$E$2:$E$101,L17)</f>
        <v>4</v>
      </c>
    </row>
    <row r="18" customFormat="false" ht="21.75" hidden="false" customHeight="true" outlineLevel="0" collapsed="false">
      <c r="A18" s="53" t="s">
        <v>3413</v>
      </c>
      <c r="B18" s="53" t="s">
        <v>3414</v>
      </c>
      <c r="C18" s="54" t="s">
        <v>9</v>
      </c>
      <c r="D18" s="54" t="s">
        <v>3415</v>
      </c>
      <c r="E18" s="54" t="s">
        <v>3354</v>
      </c>
      <c r="F18" s="54" t="s">
        <v>3355</v>
      </c>
      <c r="G18" s="55" t="s">
        <v>3416</v>
      </c>
    </row>
    <row r="19" customFormat="false" ht="21.75" hidden="false" customHeight="true" outlineLevel="0" collapsed="false">
      <c r="A19" s="53" t="s">
        <v>3413</v>
      </c>
      <c r="B19" s="53" t="s">
        <v>3417</v>
      </c>
      <c r="C19" s="54" t="s">
        <v>9</v>
      </c>
      <c r="D19" s="54" t="s">
        <v>109</v>
      </c>
      <c r="E19" s="54" t="s">
        <v>3371</v>
      </c>
      <c r="F19" s="54" t="s">
        <v>3360</v>
      </c>
      <c r="G19" s="55" t="s">
        <v>3418</v>
      </c>
    </row>
    <row r="20" customFormat="false" ht="21.75" hidden="false" customHeight="true" outlineLevel="0" collapsed="false">
      <c r="A20" s="53" t="s">
        <v>3413</v>
      </c>
      <c r="B20" s="53" t="s">
        <v>3419</v>
      </c>
      <c r="C20" s="54" t="s">
        <v>12</v>
      </c>
      <c r="D20" s="54" t="s">
        <v>3420</v>
      </c>
      <c r="E20" s="54" t="s">
        <v>3378</v>
      </c>
      <c r="F20" s="54" t="s">
        <v>3355</v>
      </c>
      <c r="G20" s="55" t="s">
        <v>3421</v>
      </c>
    </row>
    <row r="21" customFormat="false" ht="21.75" hidden="false" customHeight="true" outlineLevel="0" collapsed="false">
      <c r="A21" s="53" t="s">
        <v>3413</v>
      </c>
      <c r="B21" s="53" t="s">
        <v>3422</v>
      </c>
      <c r="C21" s="54" t="s">
        <v>12</v>
      </c>
      <c r="D21" s="54" t="s">
        <v>3423</v>
      </c>
      <c r="E21" s="54" t="s">
        <v>3382</v>
      </c>
      <c r="F21" s="54" t="s">
        <v>3355</v>
      </c>
      <c r="G21" s="55" t="s">
        <v>3424</v>
      </c>
    </row>
    <row r="22" customFormat="false" ht="21.75" hidden="false" customHeight="true" outlineLevel="0" collapsed="false">
      <c r="A22" s="53" t="s">
        <v>3413</v>
      </c>
      <c r="B22" s="53" t="s">
        <v>3425</v>
      </c>
      <c r="C22" s="54" t="s">
        <v>12</v>
      </c>
      <c r="D22" s="54" t="s">
        <v>3426</v>
      </c>
      <c r="E22" s="54" t="s">
        <v>3388</v>
      </c>
      <c r="F22" s="54" t="s">
        <v>3360</v>
      </c>
      <c r="G22" s="55" t="s">
        <v>3427</v>
      </c>
    </row>
    <row r="23" customFormat="false" ht="21.75" hidden="false" customHeight="true" outlineLevel="0" collapsed="false">
      <c r="A23" s="53" t="s">
        <v>3413</v>
      </c>
      <c r="B23" s="53" t="s">
        <v>3428</v>
      </c>
      <c r="C23" s="54" t="s">
        <v>12</v>
      </c>
      <c r="D23" s="54" t="s">
        <v>3429</v>
      </c>
      <c r="E23" s="54" t="s">
        <v>3408</v>
      </c>
      <c r="F23" s="54" t="s">
        <v>3360</v>
      </c>
      <c r="G23" s="55" t="s">
        <v>3430</v>
      </c>
    </row>
    <row r="24" customFormat="false" ht="21.75" hidden="false" customHeight="true" outlineLevel="0" collapsed="false">
      <c r="A24" s="53" t="s">
        <v>3413</v>
      </c>
      <c r="B24" s="53" t="s">
        <v>3431</v>
      </c>
      <c r="C24" s="54" t="s">
        <v>12</v>
      </c>
      <c r="D24" s="54" t="s">
        <v>3432</v>
      </c>
      <c r="E24" s="54" t="s">
        <v>3411</v>
      </c>
      <c r="F24" s="54" t="s">
        <v>3412</v>
      </c>
      <c r="G24" s="55" t="s">
        <v>3433</v>
      </c>
    </row>
    <row r="25" customFormat="false" ht="21.75" hidden="false" customHeight="true" outlineLevel="0" collapsed="false">
      <c r="A25" s="53" t="s">
        <v>3413</v>
      </c>
      <c r="B25" s="53" t="s">
        <v>3434</v>
      </c>
      <c r="C25" s="54" t="s">
        <v>12</v>
      </c>
      <c r="D25" s="54" t="s">
        <v>3435</v>
      </c>
      <c r="E25" s="54" t="s">
        <v>3364</v>
      </c>
      <c r="F25" s="54" t="s">
        <v>3360</v>
      </c>
      <c r="G25" s="55" t="s">
        <v>3436</v>
      </c>
    </row>
    <row r="26" customFormat="false" ht="21.75" hidden="false" customHeight="true" outlineLevel="0" collapsed="false">
      <c r="A26" s="53" t="s">
        <v>13</v>
      </c>
      <c r="B26" s="53" t="s">
        <v>3437</v>
      </c>
      <c r="C26" s="54" t="s">
        <v>9</v>
      </c>
      <c r="D26" s="54" t="s">
        <v>3415</v>
      </c>
      <c r="E26" s="54" t="s">
        <v>3354</v>
      </c>
      <c r="F26" s="54" t="s">
        <v>3355</v>
      </c>
      <c r="G26" s="55" t="s">
        <v>3438</v>
      </c>
    </row>
    <row r="27" customFormat="false" ht="21.75" hidden="false" customHeight="true" outlineLevel="0" collapsed="false">
      <c r="A27" s="53" t="s">
        <v>13</v>
      </c>
      <c r="B27" s="53" t="s">
        <v>3439</v>
      </c>
      <c r="C27" s="54" t="s">
        <v>9</v>
      </c>
      <c r="D27" s="54" t="s">
        <v>3440</v>
      </c>
      <c r="E27" s="54" t="s">
        <v>3392</v>
      </c>
      <c r="F27" s="54" t="s">
        <v>3355</v>
      </c>
      <c r="G27" s="55" t="s">
        <v>3441</v>
      </c>
    </row>
    <row r="28" customFormat="false" ht="21.75" hidden="false" customHeight="true" outlineLevel="0" collapsed="false">
      <c r="A28" s="53" t="s">
        <v>13</v>
      </c>
      <c r="B28" s="53" t="s">
        <v>3442</v>
      </c>
      <c r="C28" s="54" t="s">
        <v>12</v>
      </c>
      <c r="D28" s="54" t="s">
        <v>3443</v>
      </c>
      <c r="E28" s="54" t="s">
        <v>3378</v>
      </c>
      <c r="F28" s="54" t="s">
        <v>3355</v>
      </c>
      <c r="G28" s="55" t="s">
        <v>3444</v>
      </c>
    </row>
    <row r="29" customFormat="false" ht="21.75" hidden="false" customHeight="true" outlineLevel="0" collapsed="false">
      <c r="A29" s="53" t="s">
        <v>13</v>
      </c>
      <c r="B29" s="53" t="s">
        <v>3445</v>
      </c>
      <c r="C29" s="54" t="s">
        <v>12</v>
      </c>
      <c r="D29" s="54" t="s">
        <v>3446</v>
      </c>
      <c r="E29" s="54" t="s">
        <v>3396</v>
      </c>
      <c r="F29" s="54" t="s">
        <v>3355</v>
      </c>
      <c r="G29" s="55" t="s">
        <v>3447</v>
      </c>
    </row>
    <row r="30" customFormat="false" ht="21.75" hidden="false" customHeight="true" outlineLevel="0" collapsed="false">
      <c r="A30" s="53" t="s">
        <v>13</v>
      </c>
      <c r="B30" s="53" t="s">
        <v>3448</v>
      </c>
      <c r="C30" s="54" t="s">
        <v>12</v>
      </c>
      <c r="D30" s="54" t="s">
        <v>3449</v>
      </c>
      <c r="E30" s="54" t="s">
        <v>3411</v>
      </c>
      <c r="F30" s="54" t="s">
        <v>3355</v>
      </c>
      <c r="G30" s="55" t="s">
        <v>3450</v>
      </c>
    </row>
    <row r="31" customFormat="false" ht="21.75" hidden="false" customHeight="true" outlineLevel="0" collapsed="false">
      <c r="A31" s="53" t="s">
        <v>13</v>
      </c>
      <c r="B31" s="53" t="s">
        <v>3451</v>
      </c>
      <c r="C31" s="54" t="s">
        <v>12</v>
      </c>
      <c r="D31" s="54" t="s">
        <v>3363</v>
      </c>
      <c r="E31" s="54" t="s">
        <v>3364</v>
      </c>
      <c r="F31" s="54" t="s">
        <v>3360</v>
      </c>
      <c r="G31" s="55" t="s">
        <v>3452</v>
      </c>
    </row>
    <row r="32" customFormat="false" ht="21.75" hidden="false" customHeight="true" outlineLevel="0" collapsed="false">
      <c r="A32" s="53" t="s">
        <v>13</v>
      </c>
      <c r="B32" s="53" t="s">
        <v>3453</v>
      </c>
      <c r="C32" s="54" t="s">
        <v>12</v>
      </c>
      <c r="D32" s="54" t="s">
        <v>3406</v>
      </c>
      <c r="E32" s="54" t="s">
        <v>3364</v>
      </c>
      <c r="F32" s="54" t="s">
        <v>3360</v>
      </c>
      <c r="G32" s="55" t="s">
        <v>3454</v>
      </c>
    </row>
    <row r="33" customFormat="false" ht="21.75" hidden="false" customHeight="true" outlineLevel="0" collapsed="false">
      <c r="A33" s="53" t="s">
        <v>15</v>
      </c>
      <c r="B33" s="53" t="s">
        <v>3455</v>
      </c>
      <c r="C33" s="54" t="s">
        <v>9</v>
      </c>
      <c r="D33" s="54" t="s">
        <v>3415</v>
      </c>
      <c r="E33" s="54" t="s">
        <v>3354</v>
      </c>
      <c r="F33" s="54" t="s">
        <v>3355</v>
      </c>
      <c r="G33" s="55" t="s">
        <v>3456</v>
      </c>
    </row>
    <row r="34" customFormat="false" ht="21.75" hidden="false" customHeight="true" outlineLevel="0" collapsed="false">
      <c r="A34" s="53" t="s">
        <v>15</v>
      </c>
      <c r="B34" s="53" t="s">
        <v>3457</v>
      </c>
      <c r="C34" s="54" t="s">
        <v>9</v>
      </c>
      <c r="D34" s="54" t="s">
        <v>3458</v>
      </c>
      <c r="E34" s="54" t="s">
        <v>3395</v>
      </c>
      <c r="F34" s="54" t="s">
        <v>3360</v>
      </c>
      <c r="G34" s="55" t="s">
        <v>3459</v>
      </c>
    </row>
    <row r="35" customFormat="false" ht="21.75" hidden="false" customHeight="true" outlineLevel="0" collapsed="false">
      <c r="A35" s="53" t="s">
        <v>15</v>
      </c>
      <c r="B35" s="53" t="s">
        <v>3460</v>
      </c>
      <c r="C35" s="54" t="s">
        <v>12</v>
      </c>
      <c r="D35" s="54" t="s">
        <v>3443</v>
      </c>
      <c r="E35" s="54" t="s">
        <v>3378</v>
      </c>
      <c r="F35" s="54" t="s">
        <v>3355</v>
      </c>
      <c r="G35" s="55" t="s">
        <v>3461</v>
      </c>
    </row>
    <row r="36" customFormat="false" ht="21.75" hidden="false" customHeight="true" outlineLevel="0" collapsed="false">
      <c r="A36" s="53" t="s">
        <v>15</v>
      </c>
      <c r="B36" s="53" t="s">
        <v>3462</v>
      </c>
      <c r="C36" s="54" t="s">
        <v>12</v>
      </c>
      <c r="D36" s="54" t="s">
        <v>3463</v>
      </c>
      <c r="E36" s="54" t="s">
        <v>3396</v>
      </c>
      <c r="F36" s="54" t="s">
        <v>3360</v>
      </c>
      <c r="G36" s="55" t="s">
        <v>3464</v>
      </c>
    </row>
    <row r="37" customFormat="false" ht="21.75" hidden="false" customHeight="true" outlineLevel="0" collapsed="false">
      <c r="A37" s="53" t="s">
        <v>15</v>
      </c>
      <c r="B37" s="53" t="s">
        <v>3465</v>
      </c>
      <c r="C37" s="54" t="s">
        <v>12</v>
      </c>
      <c r="D37" s="54" t="s">
        <v>3466</v>
      </c>
      <c r="E37" s="54" t="s">
        <v>3388</v>
      </c>
      <c r="F37" s="54" t="s">
        <v>3360</v>
      </c>
      <c r="G37" s="55" t="s">
        <v>3467</v>
      </c>
    </row>
    <row r="38" customFormat="false" ht="21.75" hidden="false" customHeight="true" outlineLevel="0" collapsed="false">
      <c r="A38" s="53" t="s">
        <v>15</v>
      </c>
      <c r="B38" s="53" t="s">
        <v>3468</v>
      </c>
      <c r="C38" s="54" t="s">
        <v>12</v>
      </c>
      <c r="D38" s="54" t="s">
        <v>3466</v>
      </c>
      <c r="E38" s="54" t="s">
        <v>3388</v>
      </c>
      <c r="F38" s="54" t="s">
        <v>3360</v>
      </c>
      <c r="G38" s="55" t="s">
        <v>3464</v>
      </c>
    </row>
    <row r="39" customFormat="false" ht="21.75" hidden="false" customHeight="true" outlineLevel="0" collapsed="false">
      <c r="A39" s="53" t="s">
        <v>15</v>
      </c>
      <c r="B39" s="53" t="s">
        <v>3469</v>
      </c>
      <c r="C39" s="54" t="s">
        <v>12</v>
      </c>
      <c r="D39" s="54" t="s">
        <v>3406</v>
      </c>
      <c r="E39" s="54" t="s">
        <v>3364</v>
      </c>
      <c r="F39" s="54" t="s">
        <v>3360</v>
      </c>
      <c r="G39" s="55" t="s">
        <v>3470</v>
      </c>
    </row>
    <row r="40" customFormat="false" ht="21.75" hidden="false" customHeight="true" outlineLevel="0" collapsed="false">
      <c r="A40" s="53" t="s">
        <v>17</v>
      </c>
      <c r="B40" s="53" t="s">
        <v>3471</v>
      </c>
      <c r="C40" s="54" t="s">
        <v>9</v>
      </c>
      <c r="D40" s="54" t="s">
        <v>3472</v>
      </c>
      <c r="E40" s="54" t="s">
        <v>3371</v>
      </c>
      <c r="F40" s="54" t="s">
        <v>3360</v>
      </c>
      <c r="G40" s="55" t="s">
        <v>3473</v>
      </c>
    </row>
    <row r="41" customFormat="false" ht="21.75" hidden="false" customHeight="true" outlineLevel="0" collapsed="false">
      <c r="A41" s="53" t="s">
        <v>17</v>
      </c>
      <c r="B41" s="53" t="s">
        <v>3474</v>
      </c>
      <c r="C41" s="54" t="s">
        <v>9</v>
      </c>
      <c r="D41" s="54" t="s">
        <v>3358</v>
      </c>
      <c r="E41" s="54" t="s">
        <v>3359</v>
      </c>
      <c r="F41" s="54" t="s">
        <v>3360</v>
      </c>
      <c r="G41" s="55" t="s">
        <v>3475</v>
      </c>
    </row>
    <row r="42" customFormat="false" ht="21.75" hidden="false" customHeight="true" outlineLevel="0" collapsed="false">
      <c r="A42" s="53" t="s">
        <v>17</v>
      </c>
      <c r="B42" s="53" t="s">
        <v>3476</v>
      </c>
      <c r="C42" s="54" t="s">
        <v>9</v>
      </c>
      <c r="D42" s="54" t="s">
        <v>3477</v>
      </c>
      <c r="E42" s="54" t="s">
        <v>3371</v>
      </c>
      <c r="F42" s="54" t="s">
        <v>3355</v>
      </c>
      <c r="G42" s="55" t="s">
        <v>3478</v>
      </c>
    </row>
    <row r="43" customFormat="false" ht="21.75" hidden="false" customHeight="true" outlineLevel="0" collapsed="false">
      <c r="A43" s="53" t="s">
        <v>17</v>
      </c>
      <c r="B43" s="53" t="s">
        <v>3479</v>
      </c>
      <c r="C43" s="54" t="s">
        <v>12</v>
      </c>
      <c r="D43" s="54" t="s">
        <v>3480</v>
      </c>
      <c r="E43" s="54" t="s">
        <v>3378</v>
      </c>
      <c r="F43" s="54" t="s">
        <v>3355</v>
      </c>
      <c r="G43" s="55" t="s">
        <v>3481</v>
      </c>
    </row>
    <row r="44" customFormat="false" ht="21.75" hidden="false" customHeight="true" outlineLevel="0" collapsed="false">
      <c r="A44" s="53" t="s">
        <v>17</v>
      </c>
      <c r="B44" s="53" t="s">
        <v>3482</v>
      </c>
      <c r="C44" s="54" t="s">
        <v>12</v>
      </c>
      <c r="D44" s="54" t="s">
        <v>3483</v>
      </c>
      <c r="E44" s="54" t="s">
        <v>3382</v>
      </c>
      <c r="F44" s="54" t="s">
        <v>3355</v>
      </c>
      <c r="G44" s="55" t="s">
        <v>3484</v>
      </c>
    </row>
    <row r="45" customFormat="false" ht="21.75" hidden="false" customHeight="true" outlineLevel="0" collapsed="false">
      <c r="A45" s="53" t="s">
        <v>17</v>
      </c>
      <c r="B45" s="53" t="s">
        <v>3485</v>
      </c>
      <c r="C45" s="54" t="s">
        <v>12</v>
      </c>
      <c r="D45" s="54" t="s">
        <v>3486</v>
      </c>
      <c r="E45" s="54" t="s">
        <v>3411</v>
      </c>
      <c r="F45" s="54" t="s">
        <v>3360</v>
      </c>
      <c r="G45" s="55" t="s">
        <v>3487</v>
      </c>
    </row>
    <row r="46" customFormat="false" ht="21.75" hidden="false" customHeight="true" outlineLevel="0" collapsed="false">
      <c r="A46" s="53" t="s">
        <v>17</v>
      </c>
      <c r="B46" s="53" t="s">
        <v>3488</v>
      </c>
      <c r="C46" s="54" t="s">
        <v>12</v>
      </c>
      <c r="D46" s="54" t="s">
        <v>3426</v>
      </c>
      <c r="E46" s="54" t="s">
        <v>3388</v>
      </c>
      <c r="F46" s="54" t="s">
        <v>3360</v>
      </c>
      <c r="G46" s="55" t="s">
        <v>3473</v>
      </c>
    </row>
    <row r="47" customFormat="false" ht="21.75" hidden="false" customHeight="true" outlineLevel="0" collapsed="false">
      <c r="A47" s="53" t="s">
        <v>17</v>
      </c>
      <c r="B47" s="53" t="s">
        <v>3489</v>
      </c>
      <c r="C47" s="54" t="s">
        <v>12</v>
      </c>
      <c r="D47" s="54" t="s">
        <v>3406</v>
      </c>
      <c r="E47" s="54" t="s">
        <v>3364</v>
      </c>
      <c r="F47" s="54" t="s">
        <v>3360</v>
      </c>
      <c r="G47" s="55" t="s">
        <v>3490</v>
      </c>
    </row>
    <row r="48" customFormat="false" ht="21.75" hidden="false" customHeight="true" outlineLevel="0" collapsed="false">
      <c r="A48" s="53" t="s">
        <v>3491</v>
      </c>
      <c r="B48" s="53" t="s">
        <v>3492</v>
      </c>
      <c r="C48" s="54" t="s">
        <v>9</v>
      </c>
      <c r="D48" s="54" t="s">
        <v>3493</v>
      </c>
      <c r="E48" s="54" t="s">
        <v>3354</v>
      </c>
      <c r="F48" s="54" t="s">
        <v>3355</v>
      </c>
      <c r="G48" s="55" t="s">
        <v>3494</v>
      </c>
    </row>
    <row r="49" customFormat="false" ht="21.75" hidden="false" customHeight="true" outlineLevel="0" collapsed="false">
      <c r="A49" s="53" t="s">
        <v>3491</v>
      </c>
      <c r="B49" s="53" t="s">
        <v>3495</v>
      </c>
      <c r="C49" s="54" t="s">
        <v>12</v>
      </c>
      <c r="D49" s="54" t="s">
        <v>3496</v>
      </c>
      <c r="E49" s="54" t="s">
        <v>3388</v>
      </c>
      <c r="F49" s="54" t="s">
        <v>3355</v>
      </c>
      <c r="G49" s="55" t="s">
        <v>3497</v>
      </c>
    </row>
    <row r="50" customFormat="false" ht="21.75" hidden="false" customHeight="true" outlineLevel="0" collapsed="false">
      <c r="A50" s="53" t="s">
        <v>3491</v>
      </c>
      <c r="B50" s="53" t="s">
        <v>3498</v>
      </c>
      <c r="C50" s="54" t="s">
        <v>12</v>
      </c>
      <c r="D50" s="54" t="s">
        <v>3499</v>
      </c>
      <c r="E50" s="54" t="s">
        <v>3364</v>
      </c>
      <c r="F50" s="54" t="s">
        <v>3360</v>
      </c>
      <c r="G50" s="55" t="s">
        <v>3500</v>
      </c>
    </row>
    <row r="51" customFormat="false" ht="21.75" hidden="false" customHeight="true" outlineLevel="0" collapsed="false">
      <c r="A51" s="53" t="s">
        <v>3491</v>
      </c>
      <c r="B51" s="53" t="s">
        <v>3501</v>
      </c>
      <c r="C51" s="54" t="s">
        <v>12</v>
      </c>
      <c r="D51" s="54" t="s">
        <v>3363</v>
      </c>
      <c r="E51" s="54" t="s">
        <v>3364</v>
      </c>
      <c r="F51" s="54" t="s">
        <v>3360</v>
      </c>
      <c r="G51" s="55" t="s">
        <v>3502</v>
      </c>
    </row>
    <row r="52" customFormat="false" ht="21.75" hidden="false" customHeight="true" outlineLevel="0" collapsed="false">
      <c r="A52" s="53" t="s">
        <v>22</v>
      </c>
      <c r="B52" s="53" t="s">
        <v>3503</v>
      </c>
      <c r="C52" s="54" t="s">
        <v>9</v>
      </c>
      <c r="D52" s="54" t="s">
        <v>3504</v>
      </c>
      <c r="E52" s="54" t="s">
        <v>3354</v>
      </c>
      <c r="F52" s="54" t="s">
        <v>3355</v>
      </c>
      <c r="G52" s="55" t="s">
        <v>3505</v>
      </c>
    </row>
    <row r="53" customFormat="false" ht="21.75" hidden="false" customHeight="true" outlineLevel="0" collapsed="false">
      <c r="A53" s="53" t="s">
        <v>22</v>
      </c>
      <c r="B53" s="53" t="s">
        <v>3506</v>
      </c>
      <c r="C53" s="54" t="s">
        <v>12</v>
      </c>
      <c r="D53" s="54" t="s">
        <v>3507</v>
      </c>
      <c r="E53" s="54" t="s">
        <v>3382</v>
      </c>
      <c r="F53" s="54" t="s">
        <v>3355</v>
      </c>
      <c r="G53" s="55" t="s">
        <v>3508</v>
      </c>
    </row>
    <row r="54" customFormat="false" ht="21.75" hidden="false" customHeight="true" outlineLevel="0" collapsed="false">
      <c r="A54" s="53" t="s">
        <v>22</v>
      </c>
      <c r="B54" s="53" t="s">
        <v>3509</v>
      </c>
      <c r="C54" s="54" t="s">
        <v>12</v>
      </c>
      <c r="D54" s="54" t="s">
        <v>3426</v>
      </c>
      <c r="E54" s="54" t="s">
        <v>3388</v>
      </c>
      <c r="F54" s="54" t="s">
        <v>3360</v>
      </c>
      <c r="G54" s="55" t="s">
        <v>3510</v>
      </c>
    </row>
    <row r="55" customFormat="false" ht="21.75" hidden="false" customHeight="true" outlineLevel="0" collapsed="false">
      <c r="A55" s="53" t="s">
        <v>22</v>
      </c>
      <c r="B55" s="53" t="s">
        <v>3511</v>
      </c>
      <c r="C55" s="54" t="s">
        <v>12</v>
      </c>
      <c r="D55" s="54" t="s">
        <v>3512</v>
      </c>
      <c r="E55" s="54" t="s">
        <v>3364</v>
      </c>
      <c r="F55" s="54" t="s">
        <v>3360</v>
      </c>
      <c r="G55" s="55" t="s">
        <v>3513</v>
      </c>
    </row>
    <row r="56" customFormat="false" ht="21.75" hidden="false" customHeight="true" outlineLevel="0" collapsed="false">
      <c r="A56" s="53" t="s">
        <v>22</v>
      </c>
      <c r="B56" s="53" t="s">
        <v>3514</v>
      </c>
      <c r="C56" s="54" t="s">
        <v>12</v>
      </c>
      <c r="D56" s="54" t="s">
        <v>3515</v>
      </c>
      <c r="E56" s="54" t="s">
        <v>3401</v>
      </c>
      <c r="F56" s="54" t="s">
        <v>3360</v>
      </c>
      <c r="G56" s="55" t="s">
        <v>3516</v>
      </c>
    </row>
    <row r="57" customFormat="false" ht="21.75" hidden="false" customHeight="true" outlineLevel="0" collapsed="false">
      <c r="A57" s="53" t="s">
        <v>3517</v>
      </c>
      <c r="B57" s="53" t="s">
        <v>3518</v>
      </c>
      <c r="C57" s="54" t="s">
        <v>9</v>
      </c>
      <c r="D57" s="54" t="s">
        <v>3504</v>
      </c>
      <c r="E57" s="54" t="s">
        <v>3354</v>
      </c>
      <c r="F57" s="54" t="s">
        <v>3355</v>
      </c>
      <c r="G57" s="55" t="s">
        <v>3519</v>
      </c>
    </row>
    <row r="58" customFormat="false" ht="21.75" hidden="false" customHeight="true" outlineLevel="0" collapsed="false">
      <c r="A58" s="53" t="s">
        <v>3517</v>
      </c>
      <c r="B58" s="53" t="s">
        <v>3520</v>
      </c>
      <c r="C58" s="54" t="s">
        <v>12</v>
      </c>
      <c r="D58" s="54" t="s">
        <v>3521</v>
      </c>
      <c r="E58" s="54" t="s">
        <v>3399</v>
      </c>
      <c r="F58" s="54" t="s">
        <v>3355</v>
      </c>
      <c r="G58" s="55" t="s">
        <v>3522</v>
      </c>
    </row>
    <row r="59" customFormat="false" ht="21.75" hidden="false" customHeight="true" outlineLevel="0" collapsed="false">
      <c r="A59" s="53" t="s">
        <v>3517</v>
      </c>
      <c r="B59" s="53" t="s">
        <v>3523</v>
      </c>
      <c r="C59" s="54" t="s">
        <v>12</v>
      </c>
      <c r="D59" s="54" t="s">
        <v>3524</v>
      </c>
      <c r="E59" s="54" t="s">
        <v>3401</v>
      </c>
      <c r="F59" s="54" t="s">
        <v>3360</v>
      </c>
      <c r="G59" s="55" t="s">
        <v>3525</v>
      </c>
    </row>
    <row r="60" customFormat="false" ht="21.75" hidden="false" customHeight="true" outlineLevel="0" collapsed="false">
      <c r="A60" s="53" t="s">
        <v>25</v>
      </c>
      <c r="B60" s="53" t="s">
        <v>3526</v>
      </c>
      <c r="C60" s="54" t="s">
        <v>9</v>
      </c>
      <c r="D60" s="54" t="s">
        <v>3415</v>
      </c>
      <c r="E60" s="54" t="s">
        <v>3354</v>
      </c>
      <c r="F60" s="54" t="s">
        <v>3355</v>
      </c>
      <c r="G60" s="55" t="s">
        <v>3527</v>
      </c>
    </row>
    <row r="61" customFormat="false" ht="21.75" hidden="false" customHeight="true" outlineLevel="0" collapsed="false">
      <c r="A61" s="53" t="s">
        <v>25</v>
      </c>
      <c r="B61" s="53" t="s">
        <v>3528</v>
      </c>
      <c r="C61" s="54" t="s">
        <v>9</v>
      </c>
      <c r="D61" s="54" t="s">
        <v>3529</v>
      </c>
      <c r="E61" s="54" t="s">
        <v>3371</v>
      </c>
      <c r="F61" s="54" t="s">
        <v>3412</v>
      </c>
      <c r="G61" s="55" t="s">
        <v>3530</v>
      </c>
    </row>
    <row r="62" customFormat="false" ht="21.75" hidden="false" customHeight="true" outlineLevel="0" collapsed="false">
      <c r="A62" s="53" t="s">
        <v>25</v>
      </c>
      <c r="B62" s="53" t="s">
        <v>3531</v>
      </c>
      <c r="C62" s="54" t="s">
        <v>12</v>
      </c>
      <c r="D62" s="54" t="s">
        <v>3532</v>
      </c>
      <c r="E62" s="54" t="s">
        <v>3378</v>
      </c>
      <c r="F62" s="54" t="s">
        <v>3355</v>
      </c>
      <c r="G62" s="55" t="s">
        <v>3533</v>
      </c>
    </row>
    <row r="63" customFormat="false" ht="21.75" hidden="false" customHeight="true" outlineLevel="0" collapsed="false">
      <c r="A63" s="53" t="s">
        <v>25</v>
      </c>
      <c r="B63" s="53" t="s">
        <v>3534</v>
      </c>
      <c r="C63" s="54" t="s">
        <v>12</v>
      </c>
      <c r="D63" s="54" t="s">
        <v>3507</v>
      </c>
      <c r="E63" s="54" t="s">
        <v>3382</v>
      </c>
      <c r="F63" s="54" t="s">
        <v>3355</v>
      </c>
      <c r="G63" s="55" t="s">
        <v>3535</v>
      </c>
    </row>
    <row r="64" customFormat="false" ht="21.75" hidden="false" customHeight="true" outlineLevel="0" collapsed="false">
      <c r="A64" s="53" t="s">
        <v>25</v>
      </c>
      <c r="B64" s="53" t="s">
        <v>3536</v>
      </c>
      <c r="C64" s="54" t="s">
        <v>12</v>
      </c>
      <c r="D64" s="54" t="s">
        <v>3537</v>
      </c>
      <c r="E64" s="54" t="s">
        <v>3393</v>
      </c>
      <c r="F64" s="54" t="s">
        <v>3360</v>
      </c>
      <c r="G64" s="55" t="s">
        <v>3538</v>
      </c>
    </row>
    <row r="65" customFormat="false" ht="21.75" hidden="false" customHeight="true" outlineLevel="0" collapsed="false">
      <c r="A65" s="53" t="s">
        <v>25</v>
      </c>
      <c r="B65" s="53" t="s">
        <v>3539</v>
      </c>
      <c r="C65" s="54" t="s">
        <v>12</v>
      </c>
      <c r="D65" s="54" t="s">
        <v>3406</v>
      </c>
      <c r="E65" s="54" t="s">
        <v>3364</v>
      </c>
      <c r="F65" s="54" t="s">
        <v>3360</v>
      </c>
      <c r="G65" s="55" t="s">
        <v>3540</v>
      </c>
    </row>
    <row r="66" customFormat="false" ht="21.75" hidden="false" customHeight="true" outlineLevel="0" collapsed="false">
      <c r="A66" s="53" t="s">
        <v>25</v>
      </c>
      <c r="B66" s="53" t="s">
        <v>3541</v>
      </c>
      <c r="C66" s="54" t="s">
        <v>12</v>
      </c>
      <c r="D66" s="54" t="s">
        <v>3406</v>
      </c>
      <c r="E66" s="54" t="s">
        <v>3364</v>
      </c>
      <c r="F66" s="54" t="s">
        <v>3360</v>
      </c>
      <c r="G66" s="55" t="s">
        <v>3542</v>
      </c>
    </row>
    <row r="67" customFormat="false" ht="21.75" hidden="false" customHeight="true" outlineLevel="0" collapsed="false">
      <c r="A67" s="53" t="s">
        <v>3543</v>
      </c>
      <c r="B67" s="53" t="s">
        <v>3544</v>
      </c>
      <c r="C67" s="54" t="s">
        <v>12</v>
      </c>
      <c r="D67" s="54" t="s">
        <v>3545</v>
      </c>
      <c r="E67" s="54" t="s">
        <v>3382</v>
      </c>
      <c r="F67" s="54" t="s">
        <v>3355</v>
      </c>
      <c r="G67" s="55" t="s">
        <v>3546</v>
      </c>
    </row>
    <row r="68" customFormat="false" ht="21.75" hidden="false" customHeight="true" outlineLevel="0" collapsed="false">
      <c r="A68" s="53" t="s">
        <v>26</v>
      </c>
      <c r="B68" s="53" t="s">
        <v>3547</v>
      </c>
      <c r="C68" s="54" t="s">
        <v>9</v>
      </c>
      <c r="D68" s="54" t="s">
        <v>3548</v>
      </c>
      <c r="E68" s="54" t="s">
        <v>3395</v>
      </c>
      <c r="F68" s="54" t="s">
        <v>3412</v>
      </c>
      <c r="G68" s="55" t="s">
        <v>3549</v>
      </c>
    </row>
    <row r="69" customFormat="false" ht="21.75" hidden="false" customHeight="true" outlineLevel="0" collapsed="false">
      <c r="A69" s="53" t="s">
        <v>26</v>
      </c>
      <c r="B69" s="53" t="s">
        <v>3550</v>
      </c>
      <c r="C69" s="54" t="s">
        <v>12</v>
      </c>
      <c r="D69" s="54" t="s">
        <v>3551</v>
      </c>
      <c r="E69" s="54" t="s">
        <v>3378</v>
      </c>
      <c r="F69" s="54" t="s">
        <v>3355</v>
      </c>
      <c r="G69" s="55" t="s">
        <v>3552</v>
      </c>
    </row>
    <row r="70" customFormat="false" ht="21.75" hidden="false" customHeight="true" outlineLevel="0" collapsed="false">
      <c r="A70" s="53" t="s">
        <v>26</v>
      </c>
      <c r="B70" s="53" t="s">
        <v>3553</v>
      </c>
      <c r="C70" s="54" t="s">
        <v>12</v>
      </c>
      <c r="D70" s="54" t="s">
        <v>3554</v>
      </c>
      <c r="E70" s="54" t="s">
        <v>21</v>
      </c>
      <c r="F70" s="54" t="s">
        <v>3360</v>
      </c>
      <c r="G70" s="55" t="s">
        <v>3555</v>
      </c>
    </row>
    <row r="71" customFormat="false" ht="21.75" hidden="false" customHeight="true" outlineLevel="0" collapsed="false">
      <c r="A71" s="53" t="s">
        <v>26</v>
      </c>
      <c r="B71" s="53" t="s">
        <v>3556</v>
      </c>
      <c r="C71" s="54" t="s">
        <v>12</v>
      </c>
      <c r="D71" s="54" t="s">
        <v>3363</v>
      </c>
      <c r="E71" s="54" t="s">
        <v>3364</v>
      </c>
      <c r="F71" s="54" t="s">
        <v>3360</v>
      </c>
      <c r="G71" s="55" t="s">
        <v>3557</v>
      </c>
    </row>
    <row r="72" customFormat="false" ht="21.75" hidden="false" customHeight="true" outlineLevel="0" collapsed="false">
      <c r="A72" s="53" t="s">
        <v>26</v>
      </c>
      <c r="B72" s="53" t="s">
        <v>3558</v>
      </c>
      <c r="C72" s="54" t="s">
        <v>12</v>
      </c>
      <c r="D72" s="54" t="s">
        <v>3363</v>
      </c>
      <c r="E72" s="54" t="s">
        <v>3364</v>
      </c>
      <c r="F72" s="54" t="s">
        <v>3360</v>
      </c>
      <c r="G72" s="55" t="s">
        <v>3559</v>
      </c>
    </row>
    <row r="73" customFormat="false" ht="21.75" hidden="false" customHeight="true" outlineLevel="0" collapsed="false">
      <c r="A73" s="53" t="s">
        <v>27</v>
      </c>
      <c r="B73" s="53" t="s">
        <v>3560</v>
      </c>
      <c r="C73" s="54" t="s">
        <v>9</v>
      </c>
      <c r="D73" s="54" t="s">
        <v>3561</v>
      </c>
      <c r="E73" s="54" t="s">
        <v>3371</v>
      </c>
      <c r="F73" s="54" t="s">
        <v>3360</v>
      </c>
      <c r="G73" s="55" t="s">
        <v>3562</v>
      </c>
    </row>
    <row r="74" customFormat="false" ht="21.75" hidden="false" customHeight="true" outlineLevel="0" collapsed="false">
      <c r="A74" s="53" t="s">
        <v>27</v>
      </c>
      <c r="B74" s="53" t="s">
        <v>3563</v>
      </c>
      <c r="C74" s="54" t="s">
        <v>12</v>
      </c>
      <c r="D74" s="54" t="s">
        <v>3480</v>
      </c>
      <c r="E74" s="54" t="s">
        <v>3378</v>
      </c>
      <c r="F74" s="54" t="s">
        <v>3355</v>
      </c>
      <c r="G74" s="55" t="s">
        <v>3564</v>
      </c>
    </row>
    <row r="75" customFormat="false" ht="21.75" hidden="false" customHeight="true" outlineLevel="0" collapsed="false">
      <c r="A75" s="53" t="s">
        <v>27</v>
      </c>
      <c r="B75" s="53" t="s">
        <v>3565</v>
      </c>
      <c r="C75" s="54" t="s">
        <v>12</v>
      </c>
      <c r="D75" s="54" t="s">
        <v>3566</v>
      </c>
      <c r="E75" s="54" t="s">
        <v>3364</v>
      </c>
      <c r="F75" s="54" t="s">
        <v>3360</v>
      </c>
      <c r="G75" s="55" t="s">
        <v>3567</v>
      </c>
    </row>
    <row r="76" customFormat="false" ht="21.75" hidden="false" customHeight="true" outlineLevel="0" collapsed="false">
      <c r="A76" s="53" t="s">
        <v>3568</v>
      </c>
      <c r="B76" s="53" t="s">
        <v>3569</v>
      </c>
      <c r="C76" s="54" t="s">
        <v>12</v>
      </c>
      <c r="D76" s="54" t="s">
        <v>3570</v>
      </c>
      <c r="E76" s="54" t="s">
        <v>3364</v>
      </c>
      <c r="F76" s="54" t="s">
        <v>3355</v>
      </c>
      <c r="G76" s="55" t="s">
        <v>3571</v>
      </c>
    </row>
    <row r="77" customFormat="false" ht="21.75" hidden="false" customHeight="true" outlineLevel="0" collapsed="false">
      <c r="A77" s="53" t="s">
        <v>3568</v>
      </c>
      <c r="B77" s="53" t="s">
        <v>3572</v>
      </c>
      <c r="C77" s="54" t="s">
        <v>12</v>
      </c>
      <c r="D77" s="54" t="s">
        <v>3573</v>
      </c>
      <c r="E77" s="54" t="s">
        <v>3393</v>
      </c>
      <c r="F77" s="54" t="s">
        <v>3360</v>
      </c>
      <c r="G77" s="55" t="s">
        <v>3574</v>
      </c>
    </row>
    <row r="78" customFormat="false" ht="21.75" hidden="false" customHeight="true" outlineLevel="0" collapsed="false">
      <c r="A78" s="53" t="s">
        <v>30</v>
      </c>
      <c r="B78" s="53" t="s">
        <v>3575</v>
      </c>
      <c r="C78" s="54" t="s">
        <v>9</v>
      </c>
      <c r="D78" s="54" t="s">
        <v>3415</v>
      </c>
      <c r="E78" s="54" t="s">
        <v>3354</v>
      </c>
      <c r="F78" s="54" t="s">
        <v>3355</v>
      </c>
      <c r="G78" s="55" t="s">
        <v>3576</v>
      </c>
    </row>
    <row r="79" customFormat="false" ht="21.75" hidden="false" customHeight="true" outlineLevel="0" collapsed="false">
      <c r="A79" s="53" t="s">
        <v>30</v>
      </c>
      <c r="B79" s="53" t="s">
        <v>3577</v>
      </c>
      <c r="C79" s="54" t="s">
        <v>9</v>
      </c>
      <c r="D79" s="54" t="s">
        <v>3358</v>
      </c>
      <c r="E79" s="54" t="s">
        <v>3359</v>
      </c>
      <c r="F79" s="54" t="s">
        <v>3360</v>
      </c>
      <c r="G79" s="55" t="s">
        <v>3578</v>
      </c>
    </row>
    <row r="80" customFormat="false" ht="21.75" hidden="false" customHeight="true" outlineLevel="0" collapsed="false">
      <c r="A80" s="53" t="s">
        <v>30</v>
      </c>
      <c r="B80" s="53" t="s">
        <v>3579</v>
      </c>
      <c r="C80" s="54" t="s">
        <v>12</v>
      </c>
      <c r="D80" s="54" t="s">
        <v>3443</v>
      </c>
      <c r="E80" s="54" t="s">
        <v>3378</v>
      </c>
      <c r="F80" s="54" t="s">
        <v>3355</v>
      </c>
      <c r="G80" s="55" t="s">
        <v>3580</v>
      </c>
    </row>
    <row r="81" customFormat="false" ht="21.75" hidden="false" customHeight="true" outlineLevel="0" collapsed="false">
      <c r="A81" s="53" t="s">
        <v>30</v>
      </c>
      <c r="B81" s="53" t="s">
        <v>3581</v>
      </c>
      <c r="C81" s="54" t="s">
        <v>12</v>
      </c>
      <c r="D81" s="54" t="s">
        <v>3406</v>
      </c>
      <c r="E81" s="54" t="s">
        <v>3364</v>
      </c>
      <c r="F81" s="54" t="s">
        <v>3360</v>
      </c>
      <c r="G81" s="55" t="s">
        <v>3582</v>
      </c>
    </row>
    <row r="82" customFormat="false" ht="21.75" hidden="false" customHeight="true" outlineLevel="0" collapsed="false">
      <c r="A82" s="53" t="s">
        <v>3583</v>
      </c>
      <c r="B82" s="53" t="s">
        <v>3584</v>
      </c>
      <c r="C82" s="54" t="s">
        <v>9</v>
      </c>
      <c r="D82" s="54" t="s">
        <v>3504</v>
      </c>
      <c r="E82" s="54" t="s">
        <v>3354</v>
      </c>
      <c r="F82" s="54" t="s">
        <v>3355</v>
      </c>
      <c r="G82" s="55" t="s">
        <v>3585</v>
      </c>
    </row>
    <row r="83" customFormat="false" ht="21.75" hidden="false" customHeight="true" outlineLevel="0" collapsed="false">
      <c r="A83" s="53" t="s">
        <v>3583</v>
      </c>
      <c r="B83" s="53" t="s">
        <v>3586</v>
      </c>
      <c r="C83" s="54" t="s">
        <v>9</v>
      </c>
      <c r="D83" s="54" t="s">
        <v>109</v>
      </c>
      <c r="E83" s="54" t="s">
        <v>3371</v>
      </c>
      <c r="F83" s="54" t="s">
        <v>3360</v>
      </c>
      <c r="G83" s="55" t="s">
        <v>3587</v>
      </c>
    </row>
    <row r="84" customFormat="false" ht="21.75" hidden="false" customHeight="true" outlineLevel="0" collapsed="false">
      <c r="A84" s="53" t="s">
        <v>3583</v>
      </c>
      <c r="B84" s="53" t="s">
        <v>3588</v>
      </c>
      <c r="C84" s="54" t="s">
        <v>9</v>
      </c>
      <c r="D84" s="54" t="s">
        <v>3589</v>
      </c>
      <c r="E84" s="54" t="s">
        <v>3371</v>
      </c>
      <c r="F84" s="54" t="s">
        <v>3412</v>
      </c>
      <c r="G84" s="55" t="s">
        <v>3590</v>
      </c>
    </row>
    <row r="85" customFormat="false" ht="21.75" hidden="false" customHeight="true" outlineLevel="0" collapsed="false">
      <c r="A85" s="53" t="s">
        <v>32</v>
      </c>
      <c r="B85" s="53" t="s">
        <v>3591</v>
      </c>
      <c r="C85" s="54" t="s">
        <v>12</v>
      </c>
      <c r="D85" s="54" t="s">
        <v>3592</v>
      </c>
      <c r="E85" s="54" t="s">
        <v>3393</v>
      </c>
      <c r="F85" s="54" t="s">
        <v>3355</v>
      </c>
      <c r="G85" s="55" t="s">
        <v>3593</v>
      </c>
    </row>
    <row r="86" customFormat="false" ht="21.75" hidden="false" customHeight="true" outlineLevel="0" collapsed="false">
      <c r="A86" s="53" t="s">
        <v>32</v>
      </c>
      <c r="B86" s="53" t="s">
        <v>3594</v>
      </c>
      <c r="C86" s="54" t="s">
        <v>12</v>
      </c>
      <c r="D86" s="54" t="s">
        <v>3363</v>
      </c>
      <c r="E86" s="54" t="s">
        <v>3364</v>
      </c>
      <c r="F86" s="54" t="s">
        <v>3360</v>
      </c>
      <c r="G86" s="55" t="s">
        <v>3595</v>
      </c>
    </row>
    <row r="87" customFormat="false" ht="21.75" hidden="false" customHeight="true" outlineLevel="0" collapsed="false">
      <c r="A87" s="53" t="s">
        <v>32</v>
      </c>
      <c r="B87" s="53" t="s">
        <v>3596</v>
      </c>
      <c r="C87" s="54" t="s">
        <v>12</v>
      </c>
      <c r="D87" s="54" t="s">
        <v>3597</v>
      </c>
      <c r="E87" s="54" t="s">
        <v>3388</v>
      </c>
      <c r="F87" s="54" t="s">
        <v>3360</v>
      </c>
      <c r="G87" s="55" t="s">
        <v>3598</v>
      </c>
    </row>
    <row r="88" customFormat="false" ht="13.5" hidden="false" customHeight="true" outlineLevel="0" collapsed="false">
      <c r="A88" s="53" t="s">
        <v>3583</v>
      </c>
      <c r="B88" s="53" t="s">
        <v>3599</v>
      </c>
      <c r="C88" s="54" t="s">
        <v>12</v>
      </c>
      <c r="D88" s="54" t="s">
        <v>3446</v>
      </c>
      <c r="E88" s="54" t="s">
        <v>3396</v>
      </c>
      <c r="F88" s="54" t="s">
        <v>3355</v>
      </c>
      <c r="G88" s="55" t="s">
        <v>3600</v>
      </c>
    </row>
    <row r="89" customFormat="false" ht="13.5" hidden="false" customHeight="true" outlineLevel="0" collapsed="false">
      <c r="A89" s="53" t="s">
        <v>41</v>
      </c>
      <c r="B89" s="53" t="s">
        <v>3601</v>
      </c>
      <c r="C89" s="54" t="s">
        <v>9</v>
      </c>
      <c r="D89" s="54" t="s">
        <v>3602</v>
      </c>
      <c r="E89" s="54" t="s">
        <v>3354</v>
      </c>
      <c r="F89" s="54" t="s">
        <v>3355</v>
      </c>
      <c r="G89" s="55" t="s">
        <v>213</v>
      </c>
    </row>
    <row r="90" customFormat="false" ht="13.5" hidden="false" customHeight="true" outlineLevel="0" collapsed="false">
      <c r="A90" s="53" t="s">
        <v>41</v>
      </c>
      <c r="B90" s="53" t="s">
        <v>3603</v>
      </c>
      <c r="C90" s="54" t="s">
        <v>12</v>
      </c>
      <c r="D90" s="54" t="s">
        <v>3406</v>
      </c>
      <c r="E90" s="54" t="s">
        <v>3364</v>
      </c>
      <c r="F90" s="54" t="s">
        <v>3360</v>
      </c>
      <c r="G90" s="55" t="s">
        <v>3604</v>
      </c>
    </row>
    <row r="91" customFormat="false" ht="13.5" hidden="false" customHeight="true" outlineLevel="0" collapsed="false">
      <c r="A91" s="53" t="s">
        <v>50</v>
      </c>
      <c r="B91" s="53" t="s">
        <v>3605</v>
      </c>
      <c r="C91" s="54" t="s">
        <v>12</v>
      </c>
      <c r="D91" s="54" t="s">
        <v>3507</v>
      </c>
      <c r="E91" s="54" t="s">
        <v>3382</v>
      </c>
      <c r="F91" s="54" t="s">
        <v>3355</v>
      </c>
      <c r="G91" s="55" t="s">
        <v>231</v>
      </c>
    </row>
    <row r="92" customFormat="false" ht="13.5" hidden="false" customHeight="true" outlineLevel="0" collapsed="false">
      <c r="A92" s="53" t="s">
        <v>50</v>
      </c>
      <c r="B92" s="53" t="s">
        <v>3606</v>
      </c>
      <c r="C92" s="54" t="s">
        <v>12</v>
      </c>
      <c r="D92" s="54" t="s">
        <v>3607</v>
      </c>
      <c r="E92" s="54" t="s">
        <v>3364</v>
      </c>
      <c r="F92" s="54" t="s">
        <v>3360</v>
      </c>
      <c r="G92" s="55" t="s">
        <v>231</v>
      </c>
    </row>
    <row r="93" customFormat="false" ht="13.5" hidden="false" customHeight="true" outlineLevel="0" collapsed="false">
      <c r="A93" s="53" t="s">
        <v>50</v>
      </c>
      <c r="B93" s="53" t="s">
        <v>3608</v>
      </c>
      <c r="C93" s="54" t="s">
        <v>12</v>
      </c>
      <c r="D93" s="54" t="s">
        <v>3609</v>
      </c>
      <c r="E93" s="54" t="s">
        <v>3364</v>
      </c>
      <c r="F93" s="54" t="s">
        <v>3360</v>
      </c>
      <c r="G93" s="55" t="s">
        <v>231</v>
      </c>
    </row>
    <row r="94" customFormat="false" ht="13.5" hidden="false" customHeight="true" outlineLevel="0" collapsed="false">
      <c r="A94" s="53" t="s">
        <v>50</v>
      </c>
      <c r="B94" s="53" t="s">
        <v>3610</v>
      </c>
      <c r="C94" s="54" t="s">
        <v>12</v>
      </c>
      <c r="D94" s="54" t="s">
        <v>3611</v>
      </c>
      <c r="E94" s="54" t="s">
        <v>3393</v>
      </c>
      <c r="F94" s="54" t="s">
        <v>3360</v>
      </c>
      <c r="G94" s="55" t="s">
        <v>231</v>
      </c>
    </row>
    <row r="95" customFormat="false" ht="13.5" hidden="false" customHeight="true" outlineLevel="0" collapsed="false">
      <c r="A95" s="53" t="s">
        <v>50</v>
      </c>
      <c r="B95" s="53" t="s">
        <v>3612</v>
      </c>
      <c r="C95" s="54" t="s">
        <v>12</v>
      </c>
      <c r="D95" s="54" t="s">
        <v>3613</v>
      </c>
      <c r="E95" s="54" t="s">
        <v>3364</v>
      </c>
      <c r="F95" s="54" t="s">
        <v>3360</v>
      </c>
      <c r="G95" s="55" t="s">
        <v>231</v>
      </c>
    </row>
    <row r="96" customFormat="false" ht="13.5" hidden="false" customHeight="true" outlineLevel="0" collapsed="false">
      <c r="A96" s="53" t="s">
        <v>50</v>
      </c>
      <c r="B96" s="53" t="s">
        <v>3614</v>
      </c>
      <c r="C96" s="54" t="s">
        <v>12</v>
      </c>
      <c r="D96" s="54" t="s">
        <v>3615</v>
      </c>
      <c r="E96" s="54" t="s">
        <v>3364</v>
      </c>
      <c r="F96" s="54" t="s">
        <v>3360</v>
      </c>
      <c r="G96" s="55" t="s">
        <v>231</v>
      </c>
    </row>
    <row r="97" customFormat="false" ht="13.5" hidden="false" customHeight="true" outlineLevel="0" collapsed="false">
      <c r="A97" s="53" t="s">
        <v>50</v>
      </c>
      <c r="B97" s="53" t="s">
        <v>3616</v>
      </c>
      <c r="C97" s="54" t="s">
        <v>12</v>
      </c>
      <c r="D97" s="54" t="s">
        <v>3617</v>
      </c>
      <c r="E97" s="54" t="s">
        <v>3364</v>
      </c>
      <c r="F97" s="54" t="s">
        <v>3360</v>
      </c>
      <c r="G97" s="55" t="s">
        <v>231</v>
      </c>
    </row>
    <row r="98" customFormat="false" ht="13.5" hidden="false" customHeight="true" outlineLevel="0" collapsed="false">
      <c r="A98" s="53" t="s">
        <v>50</v>
      </c>
      <c r="B98" s="53" t="s">
        <v>3618</v>
      </c>
      <c r="C98" s="54" t="s">
        <v>12</v>
      </c>
      <c r="D98" s="54" t="s">
        <v>3363</v>
      </c>
      <c r="E98" s="54" t="s">
        <v>3364</v>
      </c>
      <c r="F98" s="54" t="s">
        <v>3360</v>
      </c>
      <c r="G98" s="55" t="s">
        <v>231</v>
      </c>
    </row>
    <row r="99" customFormat="false" ht="13.5" hidden="false" customHeight="true" outlineLevel="0" collapsed="false">
      <c r="A99" s="53" t="s">
        <v>3263</v>
      </c>
      <c r="B99" s="53" t="s">
        <v>3619</v>
      </c>
      <c r="C99" s="54" t="s">
        <v>9</v>
      </c>
      <c r="D99" s="54" t="s">
        <v>3620</v>
      </c>
      <c r="E99" s="54" t="s">
        <v>3392</v>
      </c>
      <c r="F99" s="54" t="s">
        <v>3360</v>
      </c>
      <c r="G99" s="55" t="s">
        <v>3269</v>
      </c>
    </row>
    <row r="100" customFormat="false" ht="13.5" hidden="false" customHeight="true" outlineLevel="0" collapsed="false">
      <c r="A100" s="53" t="s">
        <v>3193</v>
      </c>
      <c r="B100" s="53" t="s">
        <v>3621</v>
      </c>
      <c r="C100" s="54" t="s">
        <v>12</v>
      </c>
      <c r="D100" s="54" t="s">
        <v>3622</v>
      </c>
      <c r="E100" s="54" t="s">
        <v>3378</v>
      </c>
      <c r="F100" s="54" t="s">
        <v>3355</v>
      </c>
      <c r="G100" s="55" t="s">
        <v>3623</v>
      </c>
    </row>
    <row r="101" customFormat="false" ht="13.5" hidden="false" customHeight="true" outlineLevel="0" collapsed="false">
      <c r="A101" s="64" t="s">
        <v>3289</v>
      </c>
      <c r="B101" s="64" t="s">
        <v>3624</v>
      </c>
      <c r="C101" s="65" t="s">
        <v>12</v>
      </c>
      <c r="D101" s="65" t="s">
        <v>3625</v>
      </c>
      <c r="E101" s="65" t="s">
        <v>3378</v>
      </c>
      <c r="F101" s="65" t="s">
        <v>3355</v>
      </c>
      <c r="G101" s="66" t="s">
        <v>3293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83203125" defaultRowHeight="13.5" zeroHeight="false" outlineLevelRow="0" outlineLevelCol="0"/>
  <cols>
    <col collapsed="false" customWidth="true" hidden="false" outlineLevel="0" max="1" min="1" style="1" width="27"/>
    <col collapsed="false" customWidth="true" hidden="false" outlineLevel="0" max="2" min="2" style="1" width="7.33"/>
    <col collapsed="false" customWidth="true" hidden="false" outlineLevel="0" max="3" min="3" style="1" width="6.33"/>
    <col collapsed="false" customWidth="true" hidden="false" outlineLevel="0" max="4" min="4" style="1" width="5.16"/>
    <col collapsed="false" customWidth="true" hidden="false" outlineLevel="0" max="5" min="5" style="1" width="6.67"/>
    <col collapsed="false" customWidth="true" hidden="false" outlineLevel="0" max="6" min="6" style="1" width="6.5"/>
    <col collapsed="false" customWidth="true" hidden="false" outlineLevel="0" max="7" min="7" style="1" width="7.5"/>
    <col collapsed="false" customWidth="true" hidden="false" outlineLevel="0" max="8" min="8" style="1" width="5.67"/>
    <col collapsed="false" customWidth="true" hidden="false" outlineLevel="0" max="9" min="9" style="1" width="7.33"/>
    <col collapsed="false" customWidth="true" hidden="false" outlineLevel="0" max="10" min="10" style="1" width="7.5"/>
    <col collapsed="false" customWidth="true" hidden="false" outlineLevel="0" max="11" min="11" style="1" width="8.16"/>
    <col collapsed="false" customWidth="true" hidden="false" outlineLevel="0" max="13" min="12" style="1" width="7.16"/>
    <col collapsed="false" customWidth="true" hidden="false" outlineLevel="0" max="14" min="14" style="1" width="6.33"/>
    <col collapsed="false" customWidth="true" hidden="false" outlineLevel="0" max="15" min="15" style="1" width="7.83"/>
    <col collapsed="false" customWidth="true" hidden="false" outlineLevel="0" max="16" min="16" style="1" width="9"/>
    <col collapsed="false" customWidth="true" hidden="false" outlineLevel="0" max="17" min="17" style="1" width="6.67"/>
    <col collapsed="false" customWidth="true" hidden="false" outlineLevel="0" max="18" min="18" style="1" width="7.33"/>
    <col collapsed="false" customWidth="true" hidden="false" outlineLevel="0" max="19" min="19" style="1" width="6.33"/>
    <col collapsed="false" customWidth="true" hidden="false" outlineLevel="0" max="20" min="20" style="1" width="7.16"/>
    <col collapsed="false" customWidth="true" hidden="false" outlineLevel="0" max="22" min="21" style="1" width="13"/>
  </cols>
  <sheetData>
    <row r="1" customFormat="false" ht="24" hidden="false" customHeight="true" outlineLevel="0" collapsed="false">
      <c r="A1" s="67" t="s">
        <v>0</v>
      </c>
      <c r="B1" s="67" t="s">
        <v>9</v>
      </c>
      <c r="C1" s="67"/>
      <c r="D1" s="67"/>
      <c r="E1" s="67"/>
      <c r="F1" s="67"/>
      <c r="G1" s="67"/>
      <c r="H1" s="67"/>
      <c r="I1" s="67"/>
      <c r="J1" s="67" t="s">
        <v>12</v>
      </c>
      <c r="K1" s="67"/>
      <c r="L1" s="67"/>
      <c r="M1" s="67"/>
      <c r="N1" s="67"/>
      <c r="O1" s="67"/>
      <c r="P1" s="67"/>
      <c r="Q1" s="67"/>
      <c r="R1" s="67"/>
      <c r="S1" s="67"/>
      <c r="T1" s="67"/>
      <c r="U1" s="67"/>
      <c r="V1" s="67" t="s">
        <v>3626</v>
      </c>
    </row>
    <row r="2" customFormat="false" ht="39.75" hidden="false" customHeight="true" outlineLevel="0" collapsed="false">
      <c r="A2" s="67"/>
      <c r="B2" s="68" t="s">
        <v>3354</v>
      </c>
      <c r="C2" s="68" t="s">
        <v>3371</v>
      </c>
      <c r="D2" s="68" t="s">
        <v>3359</v>
      </c>
      <c r="E2" s="68" t="s">
        <v>3387</v>
      </c>
      <c r="F2" s="68" t="s">
        <v>3392</v>
      </c>
      <c r="G2" s="68" t="s">
        <v>3395</v>
      </c>
      <c r="H2" s="68" t="s">
        <v>3377</v>
      </c>
      <c r="I2" s="69" t="s">
        <v>3627</v>
      </c>
      <c r="J2" s="68" t="s">
        <v>3378</v>
      </c>
      <c r="K2" s="68" t="s">
        <v>3382</v>
      </c>
      <c r="L2" s="68" t="s">
        <v>3364</v>
      </c>
      <c r="M2" s="68" t="s">
        <v>3388</v>
      </c>
      <c r="N2" s="68" t="s">
        <v>3393</v>
      </c>
      <c r="O2" s="68" t="s">
        <v>3396</v>
      </c>
      <c r="P2" s="68" t="s">
        <v>3399</v>
      </c>
      <c r="Q2" s="68" t="s">
        <v>3401</v>
      </c>
      <c r="R2" s="68" t="s">
        <v>21</v>
      </c>
      <c r="S2" s="68" t="s">
        <v>3408</v>
      </c>
      <c r="T2" s="68" t="s">
        <v>3411</v>
      </c>
      <c r="U2" s="69" t="s">
        <v>3628</v>
      </c>
      <c r="V2" s="67"/>
    </row>
    <row r="3" customFormat="false" ht="22.5" hidden="false" customHeight="true" outlineLevel="0" collapsed="false">
      <c r="A3" s="53" t="s">
        <v>7</v>
      </c>
      <c r="B3" s="70" t="n">
        <f aca="false">COUNTIFS('Commercial People'!$A$2:$A$101,"Purcari Wineries",'Commercial People'!$C$2:$C$101,"Marketing",'Commercial People'!$E$2:$E$101,B$2)+COUNTIFS('Commercial People'!$A$2:$A$101,"Purcari Wineries / Crama Ceptura",'Commercial People'!$C$2:$C$101,"Marketing",'Commercial People'!$E$2:$E$101,B$2)</f>
        <v>2</v>
      </c>
      <c r="C3" s="70" t="n">
        <f aca="false">COUNTIFS('Commercial People'!$A$2:$A$101,"Purcari Wineries",'Commercial People'!$C$2:$C$101,"Marketing",'Commercial People'!$E$2:$E$101,C$2)+COUNTIFS('Commercial People'!$A$2:$A$101,"Purcari Wineries / Crama Ceptura",'Commercial People'!$C$2:$C$101,"Marketing",'Commercial People'!$E$2:$E$101,C$2)</f>
        <v>2</v>
      </c>
      <c r="D3" s="70" t="n">
        <f aca="false">COUNTIFS('Commercial People'!$A$2:$A$101,"Purcari Wineries",'Commercial People'!$C$2:$C$101,"Marketing",'Commercial People'!$E$2:$E$101,D$2)+COUNTIFS('Commercial People'!$A$2:$A$101,"Purcari Wineries / Crama Ceptura",'Commercial People'!$C$2:$C$101,"Marketing",'Commercial People'!$E$2:$E$101,D$2)</f>
        <v>3</v>
      </c>
      <c r="E3" s="70" t="n">
        <f aca="false">COUNTIFS('Commercial People'!$A$2:$A$101,"Purcari Wineries",'Commercial People'!$C$2:$C$101,"Marketing",'Commercial People'!$E$2:$E$101,E$2)+COUNTIFS('Commercial People'!$A$2:$A$101,"Purcari Wineries / Crama Ceptura",'Commercial People'!$C$2:$C$101,"Marketing",'Commercial People'!$E$2:$E$101,E$2)</f>
        <v>2</v>
      </c>
      <c r="F3" s="70" t="n">
        <f aca="false">COUNTIFS('Commercial People'!$A$2:$A$101,"Purcari Wineries",'Commercial People'!$C$2:$C$101,"Marketing",'Commercial People'!$E$2:$E$101,F$2)+COUNTIFS('Commercial People'!$A$2:$A$101,"Purcari Wineries / Crama Ceptura",'Commercial People'!$C$2:$C$101,"Marketing",'Commercial People'!$E$2:$E$101,F$2)</f>
        <v>0</v>
      </c>
      <c r="G3" s="70" t="n">
        <f aca="false">COUNTIFS('Commercial People'!$A$2:$A$101,"Purcari Wineries",'Commercial People'!$C$2:$C$101,"Marketing",'Commercial People'!$E$2:$E$101,G$2)+COUNTIFS('Commercial People'!$A$2:$A$101,"Purcari Wineries / Crama Ceptura",'Commercial People'!$C$2:$C$101,"Marketing",'Commercial People'!$E$2:$E$101,G$2)</f>
        <v>0</v>
      </c>
      <c r="H3" s="70" t="n">
        <f aca="false">COUNTIFS('Commercial People'!$A$2:$A$101,"Purcari Wineries",'Commercial People'!$C$2:$C$101,"Marketing",'Commercial People'!$E$2:$E$101,H$2)+COUNTIFS('Commercial People'!$A$2:$A$101,"Purcari Wineries / Crama Ceptura",'Commercial People'!$C$2:$C$101,"Marketing",'Commercial People'!$E$2:$E$101,H$2)</f>
        <v>2</v>
      </c>
      <c r="I3" s="71" t="n">
        <f aca="false">SUM(B3:H3)</f>
        <v>11</v>
      </c>
      <c r="J3" s="70" t="n">
        <f aca="false">COUNTIFS('Commercial People'!$A$2:$A$101,"Purcari Wineries",'Commercial People'!$C$2:$C$101,"Sales",'Commercial People'!$E$2:$E$101,J$2)+COUNTIFS('Commercial People'!$A$2:$A$101,"Purcari Wineries / Crama Ceptura",'Commercial People'!$C$2:$C$101,"Sales",'Commercial People'!$E$2:$E$101,J$2)</f>
        <v>0</v>
      </c>
      <c r="K3" s="70" t="n">
        <f aca="false">COUNTIFS('Commercial People'!$A$2:$A$101,"Purcari Wineries",'Commercial People'!$C$2:$C$101,"Sales",'Commercial People'!$E$2:$E$101,K$2)+COUNTIFS('Commercial People'!$A$2:$A$101,"Purcari Wineries / Crama Ceptura",'Commercial People'!$C$2:$C$101,"Sales",'Commercial People'!$E$2:$E$101,K$2)</f>
        <v>0</v>
      </c>
      <c r="L3" s="70" t="n">
        <f aca="false">COUNTIFS('Commercial People'!$A$2:$A$101,"Purcari Wineries",'Commercial People'!$C$2:$C$101,"Sales",'Commercial People'!$E$2:$E$101,L$2)+COUNTIFS('Commercial People'!$A$2:$A$101,"Purcari Wineries / Crama Ceptura",'Commercial People'!$C$2:$C$101,"Sales",'Commercial People'!$E$2:$E$101,L$2)</f>
        <v>1</v>
      </c>
      <c r="M3" s="70" t="n">
        <f aca="false">COUNTIFS('Commercial People'!$A$2:$A$101,"Purcari Wineries",'Commercial People'!$C$2:$C$101,"Sales",'Commercial People'!$E$2:$E$101,M$2)+COUNTIFS('Commercial People'!$A$2:$A$101,"Purcari Wineries / Crama Ceptura",'Commercial People'!$C$2:$C$101,"Sales",'Commercial People'!$E$2:$E$101,M$2)</f>
        <v>0</v>
      </c>
      <c r="N3" s="70" t="n">
        <f aca="false">COUNTIFS('Commercial People'!$A$2:$A$101,"Purcari Wineries",'Commercial People'!$C$2:$C$101,"Sales",'Commercial People'!$E$2:$E$101,N$2)+COUNTIFS('Commercial People'!$A$2:$A$101,"Purcari Wineries / Crama Ceptura",'Commercial People'!$C$2:$C$101,"Sales",'Commercial People'!$E$2:$E$101,N$2)</f>
        <v>0</v>
      </c>
      <c r="O3" s="70" t="n">
        <f aca="false">COUNTIFS('Commercial People'!$A$2:$A$101,"Purcari Wineries",'Commercial People'!$C$2:$C$101,"Sales",'Commercial People'!$E$2:$E$101,O$2)+COUNTIFS('Commercial People'!$A$2:$A$101,"Purcari Wineries / Crama Ceptura",'Commercial People'!$C$2:$C$101,"Sales",'Commercial People'!$E$2:$E$101,O$2)</f>
        <v>2</v>
      </c>
      <c r="P3" s="70" t="n">
        <f aca="false">COUNTIFS('Commercial People'!$A$2:$A$101,"Purcari Wineries",'Commercial People'!$C$2:$C$101,"Sales",'Commercial People'!$E$2:$E$101,P$2)+COUNTIFS('Commercial People'!$A$2:$A$101,"Purcari Wineries / Crama Ceptura",'Commercial People'!$C$2:$C$101,"Sales",'Commercial People'!$E$2:$E$101,P$2)</f>
        <v>0</v>
      </c>
      <c r="Q3" s="70" t="n">
        <f aca="false">COUNTIFS('Commercial People'!$A$2:$A$101,"Purcari Wineries",'Commercial People'!$C$2:$C$101,"Sales",'Commercial People'!$E$2:$E$101,Q$2)+COUNTIFS('Commercial People'!$A$2:$A$101,"Purcari Wineries / Crama Ceptura",'Commercial People'!$C$2:$C$101,"Sales",'Commercial People'!$E$2:$E$101,Q$2)</f>
        <v>0</v>
      </c>
      <c r="R3" s="70" t="n">
        <f aca="false">COUNTIFS('Commercial People'!$A$2:$A$101,"Purcari Wineries",'Commercial People'!$C$2:$C$101,"Sales",'Commercial People'!$E$2:$E$101,R$2)+COUNTIFS('Commercial People'!$A$2:$A$101,"Purcari Wineries / Crama Ceptura",'Commercial People'!$C$2:$C$101,"Sales",'Commercial People'!$E$2:$E$101,R$2)</f>
        <v>0</v>
      </c>
      <c r="S3" s="70" t="n">
        <f aca="false">COUNTIFS('Commercial People'!$A$2:$A$101,"Purcari Wineries",'Commercial People'!$C$2:$C$101,"Sales",'Commercial People'!$E$2:$E$101,S$2)+COUNTIFS('Commercial People'!$A$2:$A$101,"Purcari Wineries / Crama Ceptura",'Commercial People'!$C$2:$C$101,"Sales",'Commercial People'!$E$2:$E$101,S$2)</f>
        <v>0</v>
      </c>
      <c r="T3" s="70" t="n">
        <f aca="false">COUNTIFS('Commercial People'!$A$2:$A$101,"Purcari Wineries",'Commercial People'!$C$2:$C$101,"Sales",'Commercial People'!$E$2:$E$101,T$2)+COUNTIFS('Commercial People'!$A$2:$A$101,"Purcari Wineries / Crama Ceptura",'Commercial People'!$C$2:$C$101,"Sales",'Commercial People'!$E$2:$E$101,T$2)</f>
        <v>1</v>
      </c>
      <c r="U3" s="71" t="n">
        <f aca="false">SUM(J3:T3)</f>
        <v>4</v>
      </c>
      <c r="V3" s="71" t="n">
        <f aca="false">I3+U3</f>
        <v>15</v>
      </c>
    </row>
    <row r="4" customFormat="false" ht="22.5" hidden="false" customHeight="true" outlineLevel="0" collapsed="false">
      <c r="A4" s="53" t="s">
        <v>3413</v>
      </c>
      <c r="B4" s="70" t="n">
        <f aca="false">COUNTIFS('Commercial People'!$A$2:$A$101,"Cramele Recaș",'Commercial People'!$C$2:$C$101,"Marketing",'Commercial People'!$E$2:$E$101,B$2)+COUNTIFS('Commercial People'!$A$2:$A$101,"Cramele Recaș / Murfatlar",'Commercial People'!$C$2:$C$101,"Marketing",'Commercial People'!$E$2:$E$101,B$2)</f>
        <v>1</v>
      </c>
      <c r="C4" s="70" t="n">
        <f aca="false">COUNTIFS('Commercial People'!$A$2:$A$101,"Cramele Recaș",'Commercial People'!$C$2:$C$101,"Marketing",'Commercial People'!$E$2:$E$101,C$2)+COUNTIFS('Commercial People'!$A$2:$A$101,"Cramele Recaș / Murfatlar",'Commercial People'!$C$2:$C$101,"Marketing",'Commercial People'!$E$2:$E$101,C$2)</f>
        <v>1</v>
      </c>
      <c r="D4" s="70" t="n">
        <f aca="false">COUNTIFS('Commercial People'!$A$2:$A$101,"Cramele Recaș",'Commercial People'!$C$2:$C$101,"Marketing",'Commercial People'!$E$2:$E$101,D$2)+COUNTIFS('Commercial People'!$A$2:$A$101,"Cramele Recaș / Murfatlar",'Commercial People'!$C$2:$C$101,"Marketing",'Commercial People'!$E$2:$E$101,D$2)</f>
        <v>0</v>
      </c>
      <c r="E4" s="70" t="n">
        <f aca="false">COUNTIFS('Commercial People'!$A$2:$A$101,"Cramele Recaș",'Commercial People'!$C$2:$C$101,"Marketing",'Commercial People'!$E$2:$E$101,E$2)+COUNTIFS('Commercial People'!$A$2:$A$101,"Cramele Recaș / Murfatlar",'Commercial People'!$C$2:$C$101,"Marketing",'Commercial People'!$E$2:$E$101,E$2)</f>
        <v>0</v>
      </c>
      <c r="F4" s="70" t="n">
        <f aca="false">COUNTIFS('Commercial People'!$A$2:$A$101,"Cramele Recaș",'Commercial People'!$C$2:$C$101,"Marketing",'Commercial People'!$E$2:$E$101,F$2)+COUNTIFS('Commercial People'!$A$2:$A$101,"Cramele Recaș / Murfatlar",'Commercial People'!$C$2:$C$101,"Marketing",'Commercial People'!$E$2:$E$101,F$2)</f>
        <v>0</v>
      </c>
      <c r="G4" s="70" t="n">
        <f aca="false">COUNTIFS('Commercial People'!$A$2:$A$101,"Cramele Recaș",'Commercial People'!$C$2:$C$101,"Marketing",'Commercial People'!$E$2:$E$101,G$2)+COUNTIFS('Commercial People'!$A$2:$A$101,"Cramele Recaș / Murfatlar",'Commercial People'!$C$2:$C$101,"Marketing",'Commercial People'!$E$2:$E$101,G$2)</f>
        <v>0</v>
      </c>
      <c r="H4" s="70" t="n">
        <f aca="false">COUNTIFS('Commercial People'!$A$2:$A$101,"Cramele Recaș",'Commercial People'!$C$2:$C$101,"Marketing",'Commercial People'!$E$2:$E$101,H$2)+COUNTIFS('Commercial People'!$A$2:$A$101,"Cramele Recaș / Murfatlar",'Commercial People'!$C$2:$C$101,"Marketing",'Commercial People'!$E$2:$E$101,H$2)</f>
        <v>0</v>
      </c>
      <c r="I4" s="71" t="n">
        <f aca="false">SUM(B4:H4)</f>
        <v>2</v>
      </c>
      <c r="J4" s="70" t="n">
        <f aca="false">COUNTIFS('Commercial People'!$A$2:$A$101,"Cramele Recaș",'Commercial People'!$C$2:$C$101,"Sales",'Commercial People'!$E$2:$E$101,J$2)+COUNTIFS('Commercial People'!$A$2:$A$101,"Cramele Recaș / Murfatlar",'Commercial People'!$C$2:$C$101,"Sales",'Commercial People'!$E$2:$E$101,J$2)</f>
        <v>1</v>
      </c>
      <c r="K4" s="70" t="n">
        <f aca="false">COUNTIFS('Commercial People'!$A$2:$A$101,"Cramele Recaș",'Commercial People'!$C$2:$C$101,"Sales",'Commercial People'!$E$2:$E$101,K$2)+COUNTIFS('Commercial People'!$A$2:$A$101,"Cramele Recaș / Murfatlar",'Commercial People'!$C$2:$C$101,"Sales",'Commercial People'!$E$2:$E$101,K$2)</f>
        <v>2</v>
      </c>
      <c r="L4" s="70" t="n">
        <f aca="false">COUNTIFS('Commercial People'!$A$2:$A$101,"Cramele Recaș",'Commercial People'!$C$2:$C$101,"Sales",'Commercial People'!$E$2:$E$101,L$2)+COUNTIFS('Commercial People'!$A$2:$A$101,"Cramele Recaș / Murfatlar",'Commercial People'!$C$2:$C$101,"Sales",'Commercial People'!$E$2:$E$101,L$2)</f>
        <v>1</v>
      </c>
      <c r="M4" s="70" t="n">
        <f aca="false">COUNTIFS('Commercial People'!$A$2:$A$101,"Cramele Recaș",'Commercial People'!$C$2:$C$101,"Sales",'Commercial People'!$E$2:$E$101,M$2)+COUNTIFS('Commercial People'!$A$2:$A$101,"Cramele Recaș / Murfatlar",'Commercial People'!$C$2:$C$101,"Sales",'Commercial People'!$E$2:$E$101,M$2)</f>
        <v>1</v>
      </c>
      <c r="N4" s="70" t="n">
        <f aca="false">COUNTIFS('Commercial People'!$A$2:$A$101,"Cramele Recaș",'Commercial People'!$C$2:$C$101,"Sales",'Commercial People'!$E$2:$E$101,N$2)+COUNTIFS('Commercial People'!$A$2:$A$101,"Cramele Recaș / Murfatlar",'Commercial People'!$C$2:$C$101,"Sales",'Commercial People'!$E$2:$E$101,N$2)</f>
        <v>0</v>
      </c>
      <c r="O4" s="70" t="n">
        <f aca="false">COUNTIFS('Commercial People'!$A$2:$A$101,"Cramele Recaș",'Commercial People'!$C$2:$C$101,"Sales",'Commercial People'!$E$2:$E$101,O$2)+COUNTIFS('Commercial People'!$A$2:$A$101,"Cramele Recaș / Murfatlar",'Commercial People'!$C$2:$C$101,"Sales",'Commercial People'!$E$2:$E$101,O$2)</f>
        <v>0</v>
      </c>
      <c r="P4" s="70" t="n">
        <f aca="false">COUNTIFS('Commercial People'!$A$2:$A$101,"Cramele Recaș",'Commercial People'!$C$2:$C$101,"Sales",'Commercial People'!$E$2:$E$101,P$2)+COUNTIFS('Commercial People'!$A$2:$A$101,"Cramele Recaș / Murfatlar",'Commercial People'!$C$2:$C$101,"Sales",'Commercial People'!$E$2:$E$101,P$2)</f>
        <v>0</v>
      </c>
      <c r="Q4" s="70" t="n">
        <f aca="false">COUNTIFS('Commercial People'!$A$2:$A$101,"Cramele Recaș",'Commercial People'!$C$2:$C$101,"Sales",'Commercial People'!$E$2:$E$101,Q$2)+COUNTIFS('Commercial People'!$A$2:$A$101,"Cramele Recaș / Murfatlar",'Commercial People'!$C$2:$C$101,"Sales",'Commercial People'!$E$2:$E$101,Q$2)</f>
        <v>0</v>
      </c>
      <c r="R4" s="70" t="n">
        <f aca="false">COUNTIFS('Commercial People'!$A$2:$A$101,"Cramele Recaș",'Commercial People'!$C$2:$C$101,"Sales",'Commercial People'!$E$2:$E$101,R$2)+COUNTIFS('Commercial People'!$A$2:$A$101,"Cramele Recaș / Murfatlar",'Commercial People'!$C$2:$C$101,"Sales",'Commercial People'!$E$2:$E$101,R$2)</f>
        <v>0</v>
      </c>
      <c r="S4" s="70" t="n">
        <f aca="false">COUNTIFS('Commercial People'!$A$2:$A$101,"Cramele Recaș",'Commercial People'!$C$2:$C$101,"Sales",'Commercial People'!$E$2:$E$101,S$2)+COUNTIFS('Commercial People'!$A$2:$A$101,"Cramele Recaș / Murfatlar",'Commercial People'!$C$2:$C$101,"Sales",'Commercial People'!$E$2:$E$101,S$2)</f>
        <v>1</v>
      </c>
      <c r="T4" s="70" t="n">
        <f aca="false">COUNTIFS('Commercial People'!$A$2:$A$101,"Cramele Recaș",'Commercial People'!$C$2:$C$101,"Sales",'Commercial People'!$E$2:$E$101,T$2)+COUNTIFS('Commercial People'!$A$2:$A$101,"Cramele Recaș / Murfatlar",'Commercial People'!$C$2:$C$101,"Sales",'Commercial People'!$E$2:$E$101,T$2)</f>
        <v>1</v>
      </c>
      <c r="U4" s="71" t="n">
        <f aca="false">SUM(J4:T4)</f>
        <v>7</v>
      </c>
      <c r="V4" s="71" t="n">
        <f aca="false">I4+U4</f>
        <v>9</v>
      </c>
    </row>
    <row r="5" customFormat="false" ht="22.5" hidden="false" customHeight="true" outlineLevel="0" collapsed="false">
      <c r="A5" s="53" t="s">
        <v>13</v>
      </c>
      <c r="B5" s="70" t="n">
        <f aca="false">COUNTIFS('Commercial People'!$A$2:$A$101,"Jidvei",'Commercial People'!$C$2:$C$101,"Marketing",'Commercial People'!$E$2:$E$101,B$2)</f>
        <v>1</v>
      </c>
      <c r="C5" s="70" t="n">
        <f aca="false">COUNTIFS('Commercial People'!$A$2:$A$101,"Jidvei",'Commercial People'!$C$2:$C$101,"Marketing",'Commercial People'!$E$2:$E$101,C$2)</f>
        <v>0</v>
      </c>
      <c r="D5" s="70" t="n">
        <f aca="false">COUNTIFS('Commercial People'!$A$2:$A$101,"Jidvei",'Commercial People'!$C$2:$C$101,"Marketing",'Commercial People'!$E$2:$E$101,D$2)</f>
        <v>0</v>
      </c>
      <c r="E5" s="70" t="n">
        <f aca="false">COUNTIFS('Commercial People'!$A$2:$A$101,"Jidvei",'Commercial People'!$C$2:$C$101,"Marketing",'Commercial People'!$E$2:$E$101,E$2)</f>
        <v>0</v>
      </c>
      <c r="F5" s="70" t="n">
        <f aca="false">COUNTIFS('Commercial People'!$A$2:$A$101,"Jidvei",'Commercial People'!$C$2:$C$101,"Marketing",'Commercial People'!$E$2:$E$101,F$2)</f>
        <v>1</v>
      </c>
      <c r="G5" s="70" t="n">
        <f aca="false">COUNTIFS('Commercial People'!$A$2:$A$101,"Jidvei",'Commercial People'!$C$2:$C$101,"Marketing",'Commercial People'!$E$2:$E$101,G$2)</f>
        <v>0</v>
      </c>
      <c r="H5" s="70" t="n">
        <f aca="false">COUNTIFS('Commercial People'!$A$2:$A$101,"Jidvei",'Commercial People'!$C$2:$C$101,"Marketing",'Commercial People'!$E$2:$E$101,H$2)</f>
        <v>0</v>
      </c>
      <c r="I5" s="71" t="n">
        <f aca="false">SUM(B5:H5)</f>
        <v>2</v>
      </c>
      <c r="J5" s="70" t="n">
        <f aca="false">COUNTIFS('Commercial People'!$A$2:$A$101,"Jidvei",'Commercial People'!$C$2:$C$101,"Sales",'Commercial People'!$E$2:$E$101,J$2)</f>
        <v>1</v>
      </c>
      <c r="K5" s="70" t="n">
        <f aca="false">COUNTIFS('Commercial People'!$A$2:$A$101,"Jidvei",'Commercial People'!$C$2:$C$101,"Sales",'Commercial People'!$E$2:$E$101,K$2)</f>
        <v>0</v>
      </c>
      <c r="L5" s="70" t="n">
        <f aca="false">COUNTIFS('Commercial People'!$A$2:$A$101,"Jidvei",'Commercial People'!$C$2:$C$101,"Sales",'Commercial People'!$E$2:$E$101,L$2)</f>
        <v>2</v>
      </c>
      <c r="M5" s="70" t="n">
        <f aca="false">COUNTIFS('Commercial People'!$A$2:$A$101,"Jidvei",'Commercial People'!$C$2:$C$101,"Sales",'Commercial People'!$E$2:$E$101,M$2)</f>
        <v>0</v>
      </c>
      <c r="N5" s="70" t="n">
        <f aca="false">COUNTIFS('Commercial People'!$A$2:$A$101,"Jidvei",'Commercial People'!$C$2:$C$101,"Sales",'Commercial People'!$E$2:$E$101,N$2)</f>
        <v>0</v>
      </c>
      <c r="O5" s="70" t="n">
        <f aca="false">COUNTIFS('Commercial People'!$A$2:$A$101,"Jidvei",'Commercial People'!$C$2:$C$101,"Sales",'Commercial People'!$E$2:$E$101,O$2)</f>
        <v>1</v>
      </c>
      <c r="P5" s="70" t="n">
        <f aca="false">COUNTIFS('Commercial People'!$A$2:$A$101,"Jidvei",'Commercial People'!$C$2:$C$101,"Sales",'Commercial People'!$E$2:$E$101,P$2)</f>
        <v>0</v>
      </c>
      <c r="Q5" s="70" t="n">
        <f aca="false">COUNTIFS('Commercial People'!$A$2:$A$101,"Jidvei",'Commercial People'!$C$2:$C$101,"Sales",'Commercial People'!$E$2:$E$101,Q$2)</f>
        <v>0</v>
      </c>
      <c r="R5" s="70" t="n">
        <f aca="false">COUNTIFS('Commercial People'!$A$2:$A$101,"Jidvei",'Commercial People'!$C$2:$C$101,"Sales",'Commercial People'!$E$2:$E$101,R$2)</f>
        <v>0</v>
      </c>
      <c r="S5" s="70" t="n">
        <f aca="false">COUNTIFS('Commercial People'!$A$2:$A$101,"Jidvei",'Commercial People'!$C$2:$C$101,"Sales",'Commercial People'!$E$2:$E$101,S$2)</f>
        <v>0</v>
      </c>
      <c r="T5" s="70" t="n">
        <f aca="false">COUNTIFS('Commercial People'!$A$2:$A$101,"Jidvei",'Commercial People'!$C$2:$C$101,"Sales",'Commercial People'!$E$2:$E$101,T$2)</f>
        <v>1</v>
      </c>
      <c r="U5" s="71" t="n">
        <f aca="false">SUM(J5:T5)</f>
        <v>5</v>
      </c>
      <c r="V5" s="71" t="n">
        <f aca="false">I5+U5</f>
        <v>7</v>
      </c>
    </row>
    <row r="6" customFormat="false" ht="22.5" hidden="false" customHeight="true" outlineLevel="0" collapsed="false">
      <c r="A6" s="53" t="s">
        <v>15</v>
      </c>
      <c r="B6" s="70" t="n">
        <f aca="false">COUNTIFS('Commercial People'!$A$2:$A$101,"Cramele Cotnari",'Commercial People'!$C$2:$C$101,"Marketing",'Commercial People'!$E$2:$E$101,B$2)</f>
        <v>1</v>
      </c>
      <c r="C6" s="70" t="n">
        <f aca="false">COUNTIFS('Commercial People'!$A$2:$A$101,"Cramele Cotnari",'Commercial People'!$C$2:$C$101,"Marketing",'Commercial People'!$E$2:$E$101,C$2)</f>
        <v>0</v>
      </c>
      <c r="D6" s="70" t="n">
        <f aca="false">COUNTIFS('Commercial People'!$A$2:$A$101,"Cramele Cotnari",'Commercial People'!$C$2:$C$101,"Marketing",'Commercial People'!$E$2:$E$101,D$2)</f>
        <v>0</v>
      </c>
      <c r="E6" s="70" t="n">
        <f aca="false">COUNTIFS('Commercial People'!$A$2:$A$101,"Cramele Cotnari",'Commercial People'!$C$2:$C$101,"Marketing",'Commercial People'!$E$2:$E$101,E$2)</f>
        <v>0</v>
      </c>
      <c r="F6" s="70" t="n">
        <f aca="false">COUNTIFS('Commercial People'!$A$2:$A$101,"Cramele Cotnari",'Commercial People'!$C$2:$C$101,"Marketing",'Commercial People'!$E$2:$E$101,F$2)</f>
        <v>0</v>
      </c>
      <c r="G6" s="70" t="n">
        <f aca="false">COUNTIFS('Commercial People'!$A$2:$A$101,"Cramele Cotnari",'Commercial People'!$C$2:$C$101,"Marketing",'Commercial People'!$E$2:$E$101,G$2)</f>
        <v>1</v>
      </c>
      <c r="H6" s="70" t="n">
        <f aca="false">COUNTIFS('Commercial People'!$A$2:$A$101,"Cramele Cotnari",'Commercial People'!$C$2:$C$101,"Marketing",'Commercial People'!$E$2:$E$101,H$2)</f>
        <v>0</v>
      </c>
      <c r="I6" s="71" t="n">
        <f aca="false">SUM(B6:H6)</f>
        <v>2</v>
      </c>
      <c r="J6" s="70" t="n">
        <f aca="false">COUNTIFS('Commercial People'!$A$2:$A$101,"Cramele Cotnari",'Commercial People'!$C$2:$C$101,"Sales",'Commercial People'!$E$2:$E$101,J$2)</f>
        <v>1</v>
      </c>
      <c r="K6" s="70" t="n">
        <f aca="false">COUNTIFS('Commercial People'!$A$2:$A$101,"Cramele Cotnari",'Commercial People'!$C$2:$C$101,"Sales",'Commercial People'!$E$2:$E$101,K$2)</f>
        <v>0</v>
      </c>
      <c r="L6" s="70" t="n">
        <f aca="false">COUNTIFS('Commercial People'!$A$2:$A$101,"Cramele Cotnari",'Commercial People'!$C$2:$C$101,"Sales",'Commercial People'!$E$2:$E$101,L$2)</f>
        <v>1</v>
      </c>
      <c r="M6" s="70" t="n">
        <f aca="false">COUNTIFS('Commercial People'!$A$2:$A$101,"Cramele Cotnari",'Commercial People'!$C$2:$C$101,"Sales",'Commercial People'!$E$2:$E$101,M$2)</f>
        <v>2</v>
      </c>
      <c r="N6" s="70" t="n">
        <f aca="false">COUNTIFS('Commercial People'!$A$2:$A$101,"Cramele Cotnari",'Commercial People'!$C$2:$C$101,"Sales",'Commercial People'!$E$2:$E$101,N$2)</f>
        <v>0</v>
      </c>
      <c r="O6" s="70" t="n">
        <f aca="false">COUNTIFS('Commercial People'!$A$2:$A$101,"Cramele Cotnari",'Commercial People'!$C$2:$C$101,"Sales",'Commercial People'!$E$2:$E$101,O$2)</f>
        <v>1</v>
      </c>
      <c r="P6" s="70" t="n">
        <f aca="false">COUNTIFS('Commercial People'!$A$2:$A$101,"Cramele Cotnari",'Commercial People'!$C$2:$C$101,"Sales",'Commercial People'!$E$2:$E$101,P$2)</f>
        <v>0</v>
      </c>
      <c r="Q6" s="70" t="n">
        <f aca="false">COUNTIFS('Commercial People'!$A$2:$A$101,"Cramele Cotnari",'Commercial People'!$C$2:$C$101,"Sales",'Commercial People'!$E$2:$E$101,Q$2)</f>
        <v>0</v>
      </c>
      <c r="R6" s="70" t="n">
        <f aca="false">COUNTIFS('Commercial People'!$A$2:$A$101,"Cramele Cotnari",'Commercial People'!$C$2:$C$101,"Sales",'Commercial People'!$E$2:$E$101,R$2)</f>
        <v>0</v>
      </c>
      <c r="S6" s="70" t="n">
        <f aca="false">COUNTIFS('Commercial People'!$A$2:$A$101,"Cramele Cotnari",'Commercial People'!$C$2:$C$101,"Sales",'Commercial People'!$E$2:$E$101,S$2)</f>
        <v>0</v>
      </c>
      <c r="T6" s="70" t="n">
        <f aca="false">COUNTIFS('Commercial People'!$A$2:$A$101,"Cramele Cotnari",'Commercial People'!$C$2:$C$101,"Sales",'Commercial People'!$E$2:$E$101,T$2)</f>
        <v>0</v>
      </c>
      <c r="U6" s="71" t="n">
        <f aca="false">SUM(J6:T6)</f>
        <v>5</v>
      </c>
      <c r="V6" s="71" t="n">
        <f aca="false">I6+U6</f>
        <v>7</v>
      </c>
    </row>
    <row r="7" customFormat="false" ht="22.5" hidden="false" customHeight="true" outlineLevel="0" collapsed="false">
      <c r="A7" s="53" t="s">
        <v>17</v>
      </c>
      <c r="B7" s="70" t="n">
        <f aca="false">COUNTIFS('Commercial People'!$A$2:$A$101,"Beciul Domnesc",'Commercial People'!$C$2:$C$101,"Marketing",'Commercial People'!$E$2:$E$101,B$2)</f>
        <v>0</v>
      </c>
      <c r="C7" s="70" t="n">
        <f aca="false">COUNTIFS('Commercial People'!$A$2:$A$101,"Beciul Domnesc",'Commercial People'!$C$2:$C$101,"Marketing",'Commercial People'!$E$2:$E$101,C$2)</f>
        <v>2</v>
      </c>
      <c r="D7" s="70" t="n">
        <f aca="false">COUNTIFS('Commercial People'!$A$2:$A$101,"Beciul Domnesc",'Commercial People'!$C$2:$C$101,"Marketing",'Commercial People'!$E$2:$E$101,D$2)</f>
        <v>1</v>
      </c>
      <c r="E7" s="70" t="n">
        <f aca="false">COUNTIFS('Commercial People'!$A$2:$A$101,"Beciul Domnesc",'Commercial People'!$C$2:$C$101,"Marketing",'Commercial People'!$E$2:$E$101,E$2)</f>
        <v>0</v>
      </c>
      <c r="F7" s="70" t="n">
        <f aca="false">COUNTIFS('Commercial People'!$A$2:$A$101,"Beciul Domnesc",'Commercial People'!$C$2:$C$101,"Marketing",'Commercial People'!$E$2:$E$101,F$2)</f>
        <v>0</v>
      </c>
      <c r="G7" s="70" t="n">
        <f aca="false">COUNTIFS('Commercial People'!$A$2:$A$101,"Beciul Domnesc",'Commercial People'!$C$2:$C$101,"Marketing",'Commercial People'!$E$2:$E$101,G$2)</f>
        <v>0</v>
      </c>
      <c r="H7" s="70" t="n">
        <f aca="false">COUNTIFS('Commercial People'!$A$2:$A$101,"Beciul Domnesc",'Commercial People'!$C$2:$C$101,"Marketing",'Commercial People'!$E$2:$E$101,H$2)</f>
        <v>0</v>
      </c>
      <c r="I7" s="71" t="n">
        <f aca="false">SUM(B7:H7)</f>
        <v>3</v>
      </c>
      <c r="J7" s="70" t="n">
        <f aca="false">COUNTIFS('Commercial People'!$A$2:$A$101,"Beciul Domnesc",'Commercial People'!$C$2:$C$101,"Sales",'Commercial People'!$E$2:$E$101,J$2)</f>
        <v>1</v>
      </c>
      <c r="K7" s="70" t="n">
        <f aca="false">COUNTIFS('Commercial People'!$A$2:$A$101,"Beciul Domnesc",'Commercial People'!$C$2:$C$101,"Sales",'Commercial People'!$E$2:$E$101,K$2)</f>
        <v>1</v>
      </c>
      <c r="L7" s="70" t="n">
        <f aca="false">COUNTIFS('Commercial People'!$A$2:$A$101,"Beciul Domnesc",'Commercial People'!$C$2:$C$101,"Sales",'Commercial People'!$E$2:$E$101,L$2)</f>
        <v>1</v>
      </c>
      <c r="M7" s="70" t="n">
        <f aca="false">COUNTIFS('Commercial People'!$A$2:$A$101,"Beciul Domnesc",'Commercial People'!$C$2:$C$101,"Sales",'Commercial People'!$E$2:$E$101,M$2)</f>
        <v>1</v>
      </c>
      <c r="N7" s="70" t="n">
        <f aca="false">COUNTIFS('Commercial People'!$A$2:$A$101,"Beciul Domnesc",'Commercial People'!$C$2:$C$101,"Sales",'Commercial People'!$E$2:$E$101,N$2)</f>
        <v>0</v>
      </c>
      <c r="O7" s="70" t="n">
        <f aca="false">COUNTIFS('Commercial People'!$A$2:$A$101,"Beciul Domnesc",'Commercial People'!$C$2:$C$101,"Sales",'Commercial People'!$E$2:$E$101,O$2)</f>
        <v>0</v>
      </c>
      <c r="P7" s="70" t="n">
        <f aca="false">COUNTIFS('Commercial People'!$A$2:$A$101,"Beciul Domnesc",'Commercial People'!$C$2:$C$101,"Sales",'Commercial People'!$E$2:$E$101,P$2)</f>
        <v>0</v>
      </c>
      <c r="Q7" s="70" t="n">
        <f aca="false">COUNTIFS('Commercial People'!$A$2:$A$101,"Beciul Domnesc",'Commercial People'!$C$2:$C$101,"Sales",'Commercial People'!$E$2:$E$101,Q$2)</f>
        <v>0</v>
      </c>
      <c r="R7" s="70" t="n">
        <f aca="false">COUNTIFS('Commercial People'!$A$2:$A$101,"Beciul Domnesc",'Commercial People'!$C$2:$C$101,"Sales",'Commercial People'!$E$2:$E$101,R$2)</f>
        <v>0</v>
      </c>
      <c r="S7" s="70" t="n">
        <f aca="false">COUNTIFS('Commercial People'!$A$2:$A$101,"Beciul Domnesc",'Commercial People'!$C$2:$C$101,"Sales",'Commercial People'!$E$2:$E$101,S$2)</f>
        <v>0</v>
      </c>
      <c r="T7" s="70" t="n">
        <f aca="false">COUNTIFS('Commercial People'!$A$2:$A$101,"Beciul Domnesc",'Commercial People'!$C$2:$C$101,"Sales",'Commercial People'!$E$2:$E$101,T$2)</f>
        <v>1</v>
      </c>
      <c r="U7" s="71" t="n">
        <f aca="false">SUM(J7:T7)</f>
        <v>5</v>
      </c>
      <c r="V7" s="71" t="n">
        <f aca="false">I7+U7</f>
        <v>8</v>
      </c>
    </row>
    <row r="8" customFormat="false" ht="22.5" hidden="false" customHeight="true" outlineLevel="0" collapsed="false">
      <c r="A8" s="53" t="s">
        <v>18</v>
      </c>
      <c r="B8" s="70" t="n">
        <f aca="false">COUNTIFS('Commercial People'!$A$2:$A$101,"Purcari Wineries / Crama Ceptura",'Commercial People'!$C$2:$C$101,"Marketing",'Commercial People'!$E$2:$E$101,B$2)+COUNTIFS('Commercial People'!$A$2:$A$101,"Crama Ceptura",'Commercial People'!$C$2:$C$101,"Marketing",'Commercial People'!$E$2:$E$101,B$2)</f>
        <v>1</v>
      </c>
      <c r="C8" s="70" t="n">
        <f aca="false">COUNTIFS('Commercial People'!$A$2:$A$101,"Purcari Wineries / Crama Ceptura",'Commercial People'!$C$2:$C$101,"Marketing",'Commercial People'!$E$2:$E$101,C$2)+COUNTIFS('Commercial People'!$A$2:$A$101,"Crama Ceptura",'Commercial People'!$C$2:$C$101,"Marketing",'Commercial People'!$E$2:$E$101,C$2)</f>
        <v>0</v>
      </c>
      <c r="D8" s="70" t="n">
        <f aca="false">COUNTIFS('Commercial People'!$A$2:$A$101,"Purcari Wineries / Crama Ceptura",'Commercial People'!$C$2:$C$101,"Marketing",'Commercial People'!$E$2:$E$101,D$2)+COUNTIFS('Commercial People'!$A$2:$A$101,"Crama Ceptura",'Commercial People'!$C$2:$C$101,"Marketing",'Commercial People'!$E$2:$E$101,D$2)</f>
        <v>1</v>
      </c>
      <c r="E8" s="70" t="n">
        <f aca="false">COUNTIFS('Commercial People'!$A$2:$A$101,"Purcari Wineries / Crama Ceptura",'Commercial People'!$C$2:$C$101,"Marketing",'Commercial People'!$E$2:$E$101,E$2)+COUNTIFS('Commercial People'!$A$2:$A$101,"Crama Ceptura",'Commercial People'!$C$2:$C$101,"Marketing",'Commercial People'!$E$2:$E$101,E$2)</f>
        <v>0</v>
      </c>
      <c r="F8" s="70" t="n">
        <f aca="false">COUNTIFS('Commercial People'!$A$2:$A$101,"Purcari Wineries / Crama Ceptura",'Commercial People'!$C$2:$C$101,"Marketing",'Commercial People'!$E$2:$E$101,F$2)+COUNTIFS('Commercial People'!$A$2:$A$101,"Crama Ceptura",'Commercial People'!$C$2:$C$101,"Marketing",'Commercial People'!$E$2:$E$101,F$2)</f>
        <v>0</v>
      </c>
      <c r="G8" s="70" t="n">
        <f aca="false">COUNTIFS('Commercial People'!$A$2:$A$101,"Purcari Wineries / Crama Ceptura",'Commercial People'!$C$2:$C$101,"Marketing",'Commercial People'!$E$2:$E$101,G$2)+COUNTIFS('Commercial People'!$A$2:$A$101,"Crama Ceptura",'Commercial People'!$C$2:$C$101,"Marketing",'Commercial People'!$E$2:$E$101,G$2)</f>
        <v>0</v>
      </c>
      <c r="H8" s="70" t="n">
        <f aca="false">COUNTIFS('Commercial People'!$A$2:$A$101,"Purcari Wineries / Crama Ceptura",'Commercial People'!$C$2:$C$101,"Marketing",'Commercial People'!$E$2:$E$101,H$2)+COUNTIFS('Commercial People'!$A$2:$A$101,"Crama Ceptura",'Commercial People'!$C$2:$C$101,"Marketing",'Commercial People'!$E$2:$E$101,H$2)</f>
        <v>0</v>
      </c>
      <c r="I8" s="71" t="n">
        <f aca="false">SUM(B8:H8)</f>
        <v>2</v>
      </c>
      <c r="J8" s="70" t="n">
        <f aca="false">COUNTIFS('Commercial People'!$A$2:$A$101,"Purcari Wineries / Crama Ceptura",'Commercial People'!$C$2:$C$101,"Sales",'Commercial People'!$E$2:$E$101,J$2)+COUNTIFS('Commercial People'!$A$2:$A$101,"Crama Ceptura",'Commercial People'!$C$2:$C$101,"Sales",'Commercial People'!$E$2:$E$101,J$2)</f>
        <v>0</v>
      </c>
      <c r="K8" s="70" t="n">
        <f aca="false">COUNTIFS('Commercial People'!$A$2:$A$101,"Purcari Wineries / Crama Ceptura",'Commercial People'!$C$2:$C$101,"Sales",'Commercial People'!$E$2:$E$101,K$2)+COUNTIFS('Commercial People'!$A$2:$A$101,"Crama Ceptura",'Commercial People'!$C$2:$C$101,"Sales",'Commercial People'!$E$2:$E$101,K$2)</f>
        <v>0</v>
      </c>
      <c r="L8" s="70" t="n">
        <f aca="false">COUNTIFS('Commercial People'!$A$2:$A$101,"Purcari Wineries / Crama Ceptura",'Commercial People'!$C$2:$C$101,"Sales",'Commercial People'!$E$2:$E$101,L$2)+COUNTIFS('Commercial People'!$A$2:$A$101,"Crama Ceptura",'Commercial People'!$C$2:$C$101,"Sales",'Commercial People'!$E$2:$E$101,L$2)</f>
        <v>1</v>
      </c>
      <c r="M8" s="70" t="n">
        <f aca="false">COUNTIFS('Commercial People'!$A$2:$A$101,"Purcari Wineries / Crama Ceptura",'Commercial People'!$C$2:$C$101,"Sales",'Commercial People'!$E$2:$E$101,M$2)+COUNTIFS('Commercial People'!$A$2:$A$101,"Crama Ceptura",'Commercial People'!$C$2:$C$101,"Sales",'Commercial People'!$E$2:$E$101,M$2)</f>
        <v>0</v>
      </c>
      <c r="N8" s="70" t="n">
        <f aca="false">COUNTIFS('Commercial People'!$A$2:$A$101,"Purcari Wineries / Crama Ceptura",'Commercial People'!$C$2:$C$101,"Sales",'Commercial People'!$E$2:$E$101,N$2)+COUNTIFS('Commercial People'!$A$2:$A$101,"Crama Ceptura",'Commercial People'!$C$2:$C$101,"Sales",'Commercial People'!$E$2:$E$101,N$2)</f>
        <v>0</v>
      </c>
      <c r="O8" s="70" t="n">
        <f aca="false">COUNTIFS('Commercial People'!$A$2:$A$101,"Purcari Wineries / Crama Ceptura",'Commercial People'!$C$2:$C$101,"Sales",'Commercial People'!$E$2:$E$101,O$2)+COUNTIFS('Commercial People'!$A$2:$A$101,"Crama Ceptura",'Commercial People'!$C$2:$C$101,"Sales",'Commercial People'!$E$2:$E$101,O$2)</f>
        <v>0</v>
      </c>
      <c r="P8" s="70" t="n">
        <f aca="false">COUNTIFS('Commercial People'!$A$2:$A$101,"Purcari Wineries / Crama Ceptura",'Commercial People'!$C$2:$C$101,"Sales",'Commercial People'!$E$2:$E$101,P$2)+COUNTIFS('Commercial People'!$A$2:$A$101,"Crama Ceptura",'Commercial People'!$C$2:$C$101,"Sales",'Commercial People'!$E$2:$E$101,P$2)</f>
        <v>0</v>
      </c>
      <c r="Q8" s="70" t="n">
        <f aca="false">COUNTIFS('Commercial People'!$A$2:$A$101,"Purcari Wineries / Crama Ceptura",'Commercial People'!$C$2:$C$101,"Sales",'Commercial People'!$E$2:$E$101,Q$2)+COUNTIFS('Commercial People'!$A$2:$A$101,"Crama Ceptura",'Commercial People'!$C$2:$C$101,"Sales",'Commercial People'!$E$2:$E$101,Q$2)</f>
        <v>0</v>
      </c>
      <c r="R8" s="70" t="n">
        <f aca="false">COUNTIFS('Commercial People'!$A$2:$A$101,"Purcari Wineries / Crama Ceptura",'Commercial People'!$C$2:$C$101,"Sales",'Commercial People'!$E$2:$E$101,R$2)+COUNTIFS('Commercial People'!$A$2:$A$101,"Crama Ceptura",'Commercial People'!$C$2:$C$101,"Sales",'Commercial People'!$E$2:$E$101,R$2)</f>
        <v>0</v>
      </c>
      <c r="S8" s="70" t="n">
        <f aca="false">COUNTIFS('Commercial People'!$A$2:$A$101,"Purcari Wineries / Crama Ceptura",'Commercial People'!$C$2:$C$101,"Sales",'Commercial People'!$E$2:$E$101,S$2)+COUNTIFS('Commercial People'!$A$2:$A$101,"Crama Ceptura",'Commercial People'!$C$2:$C$101,"Sales",'Commercial People'!$E$2:$E$101,S$2)</f>
        <v>0</v>
      </c>
      <c r="T8" s="70" t="n">
        <f aca="false">COUNTIFS('Commercial People'!$A$2:$A$101,"Purcari Wineries / Crama Ceptura",'Commercial People'!$C$2:$C$101,"Sales",'Commercial People'!$E$2:$E$101,T$2)+COUNTIFS('Commercial People'!$A$2:$A$101,"Crama Ceptura",'Commercial People'!$C$2:$C$101,"Sales",'Commercial People'!$E$2:$E$101,T$2)</f>
        <v>0</v>
      </c>
      <c r="U8" s="71" t="n">
        <f aca="false">SUM(J8:T8)</f>
        <v>1</v>
      </c>
      <c r="V8" s="71" t="n">
        <f aca="false">I8+U8</f>
        <v>3</v>
      </c>
    </row>
    <row r="9" customFormat="false" ht="22.5" hidden="false" customHeight="true" outlineLevel="0" collapsed="false">
      <c r="A9" s="53" t="s">
        <v>3491</v>
      </c>
      <c r="B9" s="70" t="n">
        <f aca="false">COUNTIFS('Commercial People'!$A$2:$A$101,"Domeniile Averești",'Commercial People'!$C$2:$C$101,"Marketing",'Commercial People'!$E$2:$E$101,B$2)</f>
        <v>1</v>
      </c>
      <c r="C9" s="70" t="n">
        <f aca="false">COUNTIFS('Commercial People'!$A$2:$A$101,"Domeniile Averești",'Commercial People'!$C$2:$C$101,"Marketing",'Commercial People'!$E$2:$E$101,C$2)</f>
        <v>0</v>
      </c>
      <c r="D9" s="70" t="n">
        <f aca="false">COUNTIFS('Commercial People'!$A$2:$A$101,"Domeniile Averești",'Commercial People'!$C$2:$C$101,"Marketing",'Commercial People'!$E$2:$E$101,D$2)</f>
        <v>0</v>
      </c>
      <c r="E9" s="70" t="n">
        <f aca="false">COUNTIFS('Commercial People'!$A$2:$A$101,"Domeniile Averești",'Commercial People'!$C$2:$C$101,"Marketing",'Commercial People'!$E$2:$E$101,E$2)</f>
        <v>0</v>
      </c>
      <c r="F9" s="70" t="n">
        <f aca="false">COUNTIFS('Commercial People'!$A$2:$A$101,"Domeniile Averești",'Commercial People'!$C$2:$C$101,"Marketing",'Commercial People'!$E$2:$E$101,F$2)</f>
        <v>0</v>
      </c>
      <c r="G9" s="70" t="n">
        <f aca="false">COUNTIFS('Commercial People'!$A$2:$A$101,"Domeniile Averești",'Commercial People'!$C$2:$C$101,"Marketing",'Commercial People'!$E$2:$E$101,G$2)</f>
        <v>0</v>
      </c>
      <c r="H9" s="70" t="n">
        <f aca="false">COUNTIFS('Commercial People'!$A$2:$A$101,"Domeniile Averești",'Commercial People'!$C$2:$C$101,"Marketing",'Commercial People'!$E$2:$E$101,H$2)</f>
        <v>0</v>
      </c>
      <c r="I9" s="71" t="n">
        <f aca="false">SUM(B9:H9)</f>
        <v>1</v>
      </c>
      <c r="J9" s="70" t="n">
        <f aca="false">COUNTIFS('Commercial People'!$A$2:$A$101,"Domeniile Averești",'Commercial People'!$C$2:$C$101,"Sales",'Commercial People'!$E$2:$E$101,J$2)</f>
        <v>0</v>
      </c>
      <c r="K9" s="70" t="n">
        <f aca="false">COUNTIFS('Commercial People'!$A$2:$A$101,"Domeniile Averești",'Commercial People'!$C$2:$C$101,"Sales",'Commercial People'!$E$2:$E$101,K$2)</f>
        <v>0</v>
      </c>
      <c r="L9" s="70" t="n">
        <f aca="false">COUNTIFS('Commercial People'!$A$2:$A$101,"Domeniile Averești",'Commercial People'!$C$2:$C$101,"Sales",'Commercial People'!$E$2:$E$101,L$2)</f>
        <v>2</v>
      </c>
      <c r="M9" s="70" t="n">
        <f aca="false">COUNTIFS('Commercial People'!$A$2:$A$101,"Domeniile Averești",'Commercial People'!$C$2:$C$101,"Sales",'Commercial People'!$E$2:$E$101,M$2)</f>
        <v>1</v>
      </c>
      <c r="N9" s="70" t="n">
        <f aca="false">COUNTIFS('Commercial People'!$A$2:$A$101,"Domeniile Averești",'Commercial People'!$C$2:$C$101,"Sales",'Commercial People'!$E$2:$E$101,N$2)</f>
        <v>0</v>
      </c>
      <c r="O9" s="70" t="n">
        <f aca="false">COUNTIFS('Commercial People'!$A$2:$A$101,"Domeniile Averești",'Commercial People'!$C$2:$C$101,"Sales",'Commercial People'!$E$2:$E$101,O$2)</f>
        <v>0</v>
      </c>
      <c r="P9" s="70" t="n">
        <f aca="false">COUNTIFS('Commercial People'!$A$2:$A$101,"Domeniile Averești",'Commercial People'!$C$2:$C$101,"Sales",'Commercial People'!$E$2:$E$101,P$2)</f>
        <v>0</v>
      </c>
      <c r="Q9" s="70" t="n">
        <f aca="false">COUNTIFS('Commercial People'!$A$2:$A$101,"Domeniile Averești",'Commercial People'!$C$2:$C$101,"Sales",'Commercial People'!$E$2:$E$101,Q$2)</f>
        <v>0</v>
      </c>
      <c r="R9" s="70" t="n">
        <f aca="false">COUNTIFS('Commercial People'!$A$2:$A$101,"Domeniile Averești",'Commercial People'!$C$2:$C$101,"Sales",'Commercial People'!$E$2:$E$101,R$2)</f>
        <v>0</v>
      </c>
      <c r="S9" s="70" t="n">
        <f aca="false">COUNTIFS('Commercial People'!$A$2:$A$101,"Domeniile Averești",'Commercial People'!$C$2:$C$101,"Sales",'Commercial People'!$E$2:$E$101,S$2)</f>
        <v>0</v>
      </c>
      <c r="T9" s="70" t="n">
        <f aca="false">COUNTIFS('Commercial People'!$A$2:$A$101,"Domeniile Averești",'Commercial People'!$C$2:$C$101,"Sales",'Commercial People'!$E$2:$E$101,T$2)</f>
        <v>0</v>
      </c>
      <c r="U9" s="71" t="n">
        <f aca="false">SUM(J9:T9)</f>
        <v>3</v>
      </c>
      <c r="V9" s="71" t="n">
        <f aca="false">I9+U9</f>
        <v>4</v>
      </c>
    </row>
    <row r="10" customFormat="false" ht="22.5" hidden="false" customHeight="true" outlineLevel="0" collapsed="false">
      <c r="A10" s="53" t="s">
        <v>22</v>
      </c>
      <c r="B10" s="70" t="n">
        <f aca="false">COUNTIFS('Commercial People'!$A$2:$A$101,"Budureasca",'Commercial People'!$C$2:$C$101,"Marketing",'Commercial People'!$E$2:$E$101,B$2)</f>
        <v>1</v>
      </c>
      <c r="C10" s="70" t="n">
        <f aca="false">COUNTIFS('Commercial People'!$A$2:$A$101,"Budureasca",'Commercial People'!$C$2:$C$101,"Marketing",'Commercial People'!$E$2:$E$101,C$2)</f>
        <v>0</v>
      </c>
      <c r="D10" s="70" t="n">
        <f aca="false">COUNTIFS('Commercial People'!$A$2:$A$101,"Budureasca",'Commercial People'!$C$2:$C$101,"Marketing",'Commercial People'!$E$2:$E$101,D$2)</f>
        <v>0</v>
      </c>
      <c r="E10" s="70" t="n">
        <f aca="false">COUNTIFS('Commercial People'!$A$2:$A$101,"Budureasca",'Commercial People'!$C$2:$C$101,"Marketing",'Commercial People'!$E$2:$E$101,E$2)</f>
        <v>0</v>
      </c>
      <c r="F10" s="70" t="n">
        <f aca="false">COUNTIFS('Commercial People'!$A$2:$A$101,"Budureasca",'Commercial People'!$C$2:$C$101,"Marketing",'Commercial People'!$E$2:$E$101,F$2)</f>
        <v>0</v>
      </c>
      <c r="G10" s="70" t="n">
        <f aca="false">COUNTIFS('Commercial People'!$A$2:$A$101,"Budureasca",'Commercial People'!$C$2:$C$101,"Marketing",'Commercial People'!$E$2:$E$101,G$2)</f>
        <v>0</v>
      </c>
      <c r="H10" s="70" t="n">
        <f aca="false">COUNTIFS('Commercial People'!$A$2:$A$101,"Budureasca",'Commercial People'!$C$2:$C$101,"Marketing",'Commercial People'!$E$2:$E$101,H$2)</f>
        <v>0</v>
      </c>
      <c r="I10" s="71" t="n">
        <f aca="false">SUM(B10:H10)</f>
        <v>1</v>
      </c>
      <c r="J10" s="70" t="n">
        <f aca="false">COUNTIFS('Commercial People'!$A$2:$A$101,"Budureasca",'Commercial People'!$C$2:$C$101,"Sales",'Commercial People'!$E$2:$E$101,J$2)</f>
        <v>0</v>
      </c>
      <c r="K10" s="70" t="n">
        <f aca="false">COUNTIFS('Commercial People'!$A$2:$A$101,"Budureasca",'Commercial People'!$C$2:$C$101,"Sales",'Commercial People'!$E$2:$E$101,K$2)</f>
        <v>1</v>
      </c>
      <c r="L10" s="70" t="n">
        <f aca="false">COUNTIFS('Commercial People'!$A$2:$A$101,"Budureasca",'Commercial People'!$C$2:$C$101,"Sales",'Commercial People'!$E$2:$E$101,L$2)</f>
        <v>1</v>
      </c>
      <c r="M10" s="70" t="n">
        <f aca="false">COUNTIFS('Commercial People'!$A$2:$A$101,"Budureasca",'Commercial People'!$C$2:$C$101,"Sales",'Commercial People'!$E$2:$E$101,M$2)</f>
        <v>1</v>
      </c>
      <c r="N10" s="70" t="n">
        <f aca="false">COUNTIFS('Commercial People'!$A$2:$A$101,"Budureasca",'Commercial People'!$C$2:$C$101,"Sales",'Commercial People'!$E$2:$E$101,N$2)</f>
        <v>0</v>
      </c>
      <c r="O10" s="70" t="n">
        <f aca="false">COUNTIFS('Commercial People'!$A$2:$A$101,"Budureasca",'Commercial People'!$C$2:$C$101,"Sales",'Commercial People'!$E$2:$E$101,O$2)</f>
        <v>0</v>
      </c>
      <c r="P10" s="70" t="n">
        <f aca="false">COUNTIFS('Commercial People'!$A$2:$A$101,"Budureasca",'Commercial People'!$C$2:$C$101,"Sales",'Commercial People'!$E$2:$E$101,P$2)</f>
        <v>0</v>
      </c>
      <c r="Q10" s="70" t="n">
        <f aca="false">COUNTIFS('Commercial People'!$A$2:$A$101,"Budureasca",'Commercial People'!$C$2:$C$101,"Sales",'Commercial People'!$E$2:$E$101,Q$2)</f>
        <v>1</v>
      </c>
      <c r="R10" s="70" t="n">
        <f aca="false">COUNTIFS('Commercial People'!$A$2:$A$101,"Budureasca",'Commercial People'!$C$2:$C$101,"Sales",'Commercial People'!$E$2:$E$101,R$2)</f>
        <v>0</v>
      </c>
      <c r="S10" s="70" t="n">
        <f aca="false">COUNTIFS('Commercial People'!$A$2:$A$101,"Budureasca",'Commercial People'!$C$2:$C$101,"Sales",'Commercial People'!$E$2:$E$101,S$2)</f>
        <v>0</v>
      </c>
      <c r="T10" s="70" t="n">
        <f aca="false">COUNTIFS('Commercial People'!$A$2:$A$101,"Budureasca",'Commercial People'!$C$2:$C$101,"Sales",'Commercial People'!$E$2:$E$101,T$2)</f>
        <v>0</v>
      </c>
      <c r="U10" s="71" t="n">
        <f aca="false">SUM(J10:T10)</f>
        <v>4</v>
      </c>
      <c r="V10" s="71" t="n">
        <f aca="false">I10+U10</f>
        <v>5</v>
      </c>
    </row>
    <row r="11" customFormat="false" ht="22.5" hidden="false" customHeight="true" outlineLevel="0" collapsed="false">
      <c r="A11" s="53" t="s">
        <v>3517</v>
      </c>
      <c r="B11" s="70" t="n">
        <f aca="false">COUNTIFS('Commercial People'!$A$2:$A$101,"Tohani România",'Commercial People'!$C$2:$C$101,"Marketing",'Commercial People'!$E$2:$E$101,B$2)</f>
        <v>1</v>
      </c>
      <c r="C11" s="70" t="n">
        <f aca="false">COUNTIFS('Commercial People'!$A$2:$A$101,"Tohani România",'Commercial People'!$C$2:$C$101,"Marketing",'Commercial People'!$E$2:$E$101,C$2)</f>
        <v>0</v>
      </c>
      <c r="D11" s="70" t="n">
        <f aca="false">COUNTIFS('Commercial People'!$A$2:$A$101,"Tohani România",'Commercial People'!$C$2:$C$101,"Marketing",'Commercial People'!$E$2:$E$101,D$2)</f>
        <v>0</v>
      </c>
      <c r="E11" s="70" t="n">
        <f aca="false">COUNTIFS('Commercial People'!$A$2:$A$101,"Tohani România",'Commercial People'!$C$2:$C$101,"Marketing",'Commercial People'!$E$2:$E$101,E$2)</f>
        <v>0</v>
      </c>
      <c r="F11" s="70" t="n">
        <f aca="false">COUNTIFS('Commercial People'!$A$2:$A$101,"Tohani România",'Commercial People'!$C$2:$C$101,"Marketing",'Commercial People'!$E$2:$E$101,F$2)</f>
        <v>0</v>
      </c>
      <c r="G11" s="70" t="n">
        <f aca="false">COUNTIFS('Commercial People'!$A$2:$A$101,"Tohani România",'Commercial People'!$C$2:$C$101,"Marketing",'Commercial People'!$E$2:$E$101,G$2)</f>
        <v>0</v>
      </c>
      <c r="H11" s="70" t="n">
        <f aca="false">COUNTIFS('Commercial People'!$A$2:$A$101,"Tohani România",'Commercial People'!$C$2:$C$101,"Marketing",'Commercial People'!$E$2:$E$101,H$2)</f>
        <v>0</v>
      </c>
      <c r="I11" s="71" t="n">
        <f aca="false">SUM(B11:H11)</f>
        <v>1</v>
      </c>
      <c r="J11" s="70" t="n">
        <f aca="false">COUNTIFS('Commercial People'!$A$2:$A$101,"Tohani România",'Commercial People'!$C$2:$C$101,"Sales",'Commercial People'!$E$2:$E$101,J$2)</f>
        <v>0</v>
      </c>
      <c r="K11" s="70" t="n">
        <f aca="false">COUNTIFS('Commercial People'!$A$2:$A$101,"Tohani România",'Commercial People'!$C$2:$C$101,"Sales",'Commercial People'!$E$2:$E$101,K$2)</f>
        <v>0</v>
      </c>
      <c r="L11" s="70" t="n">
        <f aca="false">COUNTIFS('Commercial People'!$A$2:$A$101,"Tohani România",'Commercial People'!$C$2:$C$101,"Sales",'Commercial People'!$E$2:$E$101,L$2)</f>
        <v>0</v>
      </c>
      <c r="M11" s="70" t="n">
        <f aca="false">COUNTIFS('Commercial People'!$A$2:$A$101,"Tohani România",'Commercial People'!$C$2:$C$101,"Sales",'Commercial People'!$E$2:$E$101,M$2)</f>
        <v>0</v>
      </c>
      <c r="N11" s="70" t="n">
        <f aca="false">COUNTIFS('Commercial People'!$A$2:$A$101,"Tohani România",'Commercial People'!$C$2:$C$101,"Sales",'Commercial People'!$E$2:$E$101,N$2)</f>
        <v>0</v>
      </c>
      <c r="O11" s="70" t="n">
        <f aca="false">COUNTIFS('Commercial People'!$A$2:$A$101,"Tohani România",'Commercial People'!$C$2:$C$101,"Sales",'Commercial People'!$E$2:$E$101,O$2)</f>
        <v>0</v>
      </c>
      <c r="P11" s="70" t="n">
        <f aca="false">COUNTIFS('Commercial People'!$A$2:$A$101,"Tohani România",'Commercial People'!$C$2:$C$101,"Sales",'Commercial People'!$E$2:$E$101,P$2)</f>
        <v>1</v>
      </c>
      <c r="Q11" s="70" t="n">
        <f aca="false">COUNTIFS('Commercial People'!$A$2:$A$101,"Tohani România",'Commercial People'!$C$2:$C$101,"Sales",'Commercial People'!$E$2:$E$101,Q$2)</f>
        <v>1</v>
      </c>
      <c r="R11" s="70" t="n">
        <f aca="false">COUNTIFS('Commercial People'!$A$2:$A$101,"Tohani România",'Commercial People'!$C$2:$C$101,"Sales",'Commercial People'!$E$2:$E$101,R$2)</f>
        <v>0</v>
      </c>
      <c r="S11" s="70" t="n">
        <f aca="false">COUNTIFS('Commercial People'!$A$2:$A$101,"Tohani România",'Commercial People'!$C$2:$C$101,"Sales",'Commercial People'!$E$2:$E$101,S$2)</f>
        <v>0</v>
      </c>
      <c r="T11" s="70" t="n">
        <f aca="false">COUNTIFS('Commercial People'!$A$2:$A$101,"Tohani România",'Commercial People'!$C$2:$C$101,"Sales",'Commercial People'!$E$2:$E$101,T$2)</f>
        <v>0</v>
      </c>
      <c r="U11" s="71" t="n">
        <f aca="false">SUM(J11:T11)</f>
        <v>2</v>
      </c>
      <c r="V11" s="71" t="n">
        <f aca="false">I11+U11</f>
        <v>3</v>
      </c>
    </row>
    <row r="12" customFormat="false" ht="22.5" hidden="false" customHeight="true" outlineLevel="0" collapsed="false">
      <c r="A12" s="53" t="s">
        <v>25</v>
      </c>
      <c r="B12" s="70" t="n">
        <f aca="false">COUNTIFS('Commercial People'!$A$2:$A$101,"Murfatlar",'Commercial People'!$C$2:$C$101,"Marketing",'Commercial People'!$E$2:$E$101,B$2)+COUNTIFS('Commercial People'!$A$2:$A$101,"Cramele Recaș / Murfatlar",'Commercial People'!$C$2:$C$101,"Marketing",'Commercial People'!$E$2:$E$101,B$2)</f>
        <v>1</v>
      </c>
      <c r="C12" s="70" t="n">
        <f aca="false">COUNTIFS('Commercial People'!$A$2:$A$101,"Murfatlar",'Commercial People'!$C$2:$C$101,"Marketing",'Commercial People'!$E$2:$E$101,C$2)+COUNTIFS('Commercial People'!$A$2:$A$101,"Cramele Recaș / Murfatlar",'Commercial People'!$C$2:$C$101,"Marketing",'Commercial People'!$E$2:$E$101,C$2)</f>
        <v>1</v>
      </c>
      <c r="D12" s="70" t="n">
        <f aca="false">COUNTIFS('Commercial People'!$A$2:$A$101,"Murfatlar",'Commercial People'!$C$2:$C$101,"Marketing",'Commercial People'!$E$2:$E$101,D$2)+COUNTIFS('Commercial People'!$A$2:$A$101,"Cramele Recaș / Murfatlar",'Commercial People'!$C$2:$C$101,"Marketing",'Commercial People'!$E$2:$E$101,D$2)</f>
        <v>0</v>
      </c>
      <c r="E12" s="70" t="n">
        <f aca="false">COUNTIFS('Commercial People'!$A$2:$A$101,"Murfatlar",'Commercial People'!$C$2:$C$101,"Marketing",'Commercial People'!$E$2:$E$101,E$2)+COUNTIFS('Commercial People'!$A$2:$A$101,"Cramele Recaș / Murfatlar",'Commercial People'!$C$2:$C$101,"Marketing",'Commercial People'!$E$2:$E$101,E$2)</f>
        <v>0</v>
      </c>
      <c r="F12" s="70" t="n">
        <f aca="false">COUNTIFS('Commercial People'!$A$2:$A$101,"Murfatlar",'Commercial People'!$C$2:$C$101,"Marketing",'Commercial People'!$E$2:$E$101,F$2)+COUNTIFS('Commercial People'!$A$2:$A$101,"Cramele Recaș / Murfatlar",'Commercial People'!$C$2:$C$101,"Marketing",'Commercial People'!$E$2:$E$101,F$2)</f>
        <v>0</v>
      </c>
      <c r="G12" s="70" t="n">
        <f aca="false">COUNTIFS('Commercial People'!$A$2:$A$101,"Murfatlar",'Commercial People'!$C$2:$C$101,"Marketing",'Commercial People'!$E$2:$E$101,G$2)+COUNTIFS('Commercial People'!$A$2:$A$101,"Cramele Recaș / Murfatlar",'Commercial People'!$C$2:$C$101,"Marketing",'Commercial People'!$E$2:$E$101,G$2)</f>
        <v>0</v>
      </c>
      <c r="H12" s="70" t="n">
        <f aca="false">COUNTIFS('Commercial People'!$A$2:$A$101,"Murfatlar",'Commercial People'!$C$2:$C$101,"Marketing",'Commercial People'!$E$2:$E$101,H$2)+COUNTIFS('Commercial People'!$A$2:$A$101,"Cramele Recaș / Murfatlar",'Commercial People'!$C$2:$C$101,"Marketing",'Commercial People'!$E$2:$E$101,H$2)</f>
        <v>0</v>
      </c>
      <c r="I12" s="71" t="n">
        <f aca="false">SUM(B12:H12)</f>
        <v>2</v>
      </c>
      <c r="J12" s="70" t="n">
        <f aca="false">COUNTIFS('Commercial People'!$A$2:$A$101,"Murfatlar",'Commercial People'!$C$2:$C$101,"Sales",'Commercial People'!$E$2:$E$101,J$2)+COUNTIFS('Commercial People'!$A$2:$A$101,"Cramele Recaș / Murfatlar",'Commercial People'!$C$2:$C$101,"Sales",'Commercial People'!$E$2:$E$101,J$2)</f>
        <v>1</v>
      </c>
      <c r="K12" s="70" t="n">
        <f aca="false">COUNTIFS('Commercial People'!$A$2:$A$101,"Murfatlar",'Commercial People'!$C$2:$C$101,"Sales",'Commercial People'!$E$2:$E$101,K$2)+COUNTIFS('Commercial People'!$A$2:$A$101,"Cramele Recaș / Murfatlar",'Commercial People'!$C$2:$C$101,"Sales",'Commercial People'!$E$2:$E$101,K$2)</f>
        <v>2</v>
      </c>
      <c r="L12" s="70" t="n">
        <f aca="false">COUNTIFS('Commercial People'!$A$2:$A$101,"Murfatlar",'Commercial People'!$C$2:$C$101,"Sales",'Commercial People'!$E$2:$E$101,L$2)+COUNTIFS('Commercial People'!$A$2:$A$101,"Cramele Recaș / Murfatlar",'Commercial People'!$C$2:$C$101,"Sales",'Commercial People'!$E$2:$E$101,L$2)</f>
        <v>2</v>
      </c>
      <c r="M12" s="70" t="n">
        <f aca="false">COUNTIFS('Commercial People'!$A$2:$A$101,"Murfatlar",'Commercial People'!$C$2:$C$101,"Sales",'Commercial People'!$E$2:$E$101,M$2)+COUNTIFS('Commercial People'!$A$2:$A$101,"Cramele Recaș / Murfatlar",'Commercial People'!$C$2:$C$101,"Sales",'Commercial People'!$E$2:$E$101,M$2)</f>
        <v>0</v>
      </c>
      <c r="N12" s="70" t="n">
        <f aca="false">COUNTIFS('Commercial People'!$A$2:$A$101,"Murfatlar",'Commercial People'!$C$2:$C$101,"Sales",'Commercial People'!$E$2:$E$101,N$2)+COUNTIFS('Commercial People'!$A$2:$A$101,"Cramele Recaș / Murfatlar",'Commercial People'!$C$2:$C$101,"Sales",'Commercial People'!$E$2:$E$101,N$2)</f>
        <v>1</v>
      </c>
      <c r="O12" s="70" t="n">
        <f aca="false">COUNTIFS('Commercial People'!$A$2:$A$101,"Murfatlar",'Commercial People'!$C$2:$C$101,"Sales",'Commercial People'!$E$2:$E$101,O$2)+COUNTIFS('Commercial People'!$A$2:$A$101,"Cramele Recaș / Murfatlar",'Commercial People'!$C$2:$C$101,"Sales",'Commercial People'!$E$2:$E$101,O$2)</f>
        <v>0</v>
      </c>
      <c r="P12" s="70" t="n">
        <f aca="false">COUNTIFS('Commercial People'!$A$2:$A$101,"Murfatlar",'Commercial People'!$C$2:$C$101,"Sales",'Commercial People'!$E$2:$E$101,P$2)+COUNTIFS('Commercial People'!$A$2:$A$101,"Cramele Recaș / Murfatlar",'Commercial People'!$C$2:$C$101,"Sales",'Commercial People'!$E$2:$E$101,P$2)</f>
        <v>0</v>
      </c>
      <c r="Q12" s="70" t="n">
        <f aca="false">COUNTIFS('Commercial People'!$A$2:$A$101,"Murfatlar",'Commercial People'!$C$2:$C$101,"Sales",'Commercial People'!$E$2:$E$101,Q$2)+COUNTIFS('Commercial People'!$A$2:$A$101,"Cramele Recaș / Murfatlar",'Commercial People'!$C$2:$C$101,"Sales",'Commercial People'!$E$2:$E$101,Q$2)</f>
        <v>0</v>
      </c>
      <c r="R12" s="70" t="n">
        <f aca="false">COUNTIFS('Commercial People'!$A$2:$A$101,"Murfatlar",'Commercial People'!$C$2:$C$101,"Sales",'Commercial People'!$E$2:$E$101,R$2)+COUNTIFS('Commercial People'!$A$2:$A$101,"Cramele Recaș / Murfatlar",'Commercial People'!$C$2:$C$101,"Sales",'Commercial People'!$E$2:$E$101,R$2)</f>
        <v>0</v>
      </c>
      <c r="S12" s="70" t="n">
        <f aca="false">COUNTIFS('Commercial People'!$A$2:$A$101,"Murfatlar",'Commercial People'!$C$2:$C$101,"Sales",'Commercial People'!$E$2:$E$101,S$2)+COUNTIFS('Commercial People'!$A$2:$A$101,"Cramele Recaș / Murfatlar",'Commercial People'!$C$2:$C$101,"Sales",'Commercial People'!$E$2:$E$101,S$2)</f>
        <v>0</v>
      </c>
      <c r="T12" s="70" t="n">
        <f aca="false">COUNTIFS('Commercial People'!$A$2:$A$101,"Murfatlar",'Commercial People'!$C$2:$C$101,"Sales",'Commercial People'!$E$2:$E$101,T$2)+COUNTIFS('Commercial People'!$A$2:$A$101,"Cramele Recaș / Murfatlar",'Commercial People'!$C$2:$C$101,"Sales",'Commercial People'!$E$2:$E$101,T$2)</f>
        <v>0</v>
      </c>
      <c r="U12" s="71" t="n">
        <f aca="false">SUM(J12:T12)</f>
        <v>6</v>
      </c>
      <c r="V12" s="71" t="n">
        <f aca="false">I12+U12</f>
        <v>8</v>
      </c>
    </row>
    <row r="13" customFormat="false" ht="22.5" hidden="false" customHeight="true" outlineLevel="0" collapsed="false">
      <c r="A13" s="53" t="s">
        <v>26</v>
      </c>
      <c r="B13" s="70" t="n">
        <f aca="false">COUNTIFS('Commercial People'!$A$2:$A$101,"Davino Winery",'Commercial People'!$C$2:$C$101,"Marketing",'Commercial People'!$E$2:$E$101,B$2)</f>
        <v>0</v>
      </c>
      <c r="C13" s="70" t="n">
        <f aca="false">COUNTIFS('Commercial People'!$A$2:$A$101,"Davino Winery",'Commercial People'!$C$2:$C$101,"Marketing",'Commercial People'!$E$2:$E$101,C$2)</f>
        <v>0</v>
      </c>
      <c r="D13" s="70" t="n">
        <f aca="false">COUNTIFS('Commercial People'!$A$2:$A$101,"Davino Winery",'Commercial People'!$C$2:$C$101,"Marketing",'Commercial People'!$E$2:$E$101,D$2)</f>
        <v>0</v>
      </c>
      <c r="E13" s="70" t="n">
        <f aca="false">COUNTIFS('Commercial People'!$A$2:$A$101,"Davino Winery",'Commercial People'!$C$2:$C$101,"Marketing",'Commercial People'!$E$2:$E$101,E$2)</f>
        <v>0</v>
      </c>
      <c r="F13" s="70" t="n">
        <f aca="false">COUNTIFS('Commercial People'!$A$2:$A$101,"Davino Winery",'Commercial People'!$C$2:$C$101,"Marketing",'Commercial People'!$E$2:$E$101,F$2)</f>
        <v>0</v>
      </c>
      <c r="G13" s="70" t="n">
        <f aca="false">COUNTIFS('Commercial People'!$A$2:$A$101,"Davino Winery",'Commercial People'!$C$2:$C$101,"Marketing",'Commercial People'!$E$2:$E$101,G$2)</f>
        <v>1</v>
      </c>
      <c r="H13" s="70" t="n">
        <f aca="false">COUNTIFS('Commercial People'!$A$2:$A$101,"Davino Winery",'Commercial People'!$C$2:$C$101,"Marketing",'Commercial People'!$E$2:$E$101,H$2)</f>
        <v>0</v>
      </c>
      <c r="I13" s="71" t="n">
        <f aca="false">SUM(B13:H13)</f>
        <v>1</v>
      </c>
      <c r="J13" s="70" t="n">
        <f aca="false">COUNTIFS('Commercial People'!$A$2:$A$101,"Davino Winery",'Commercial People'!$C$2:$C$101,"Sales",'Commercial People'!$E$2:$E$101,J$2)</f>
        <v>1</v>
      </c>
      <c r="K13" s="70" t="n">
        <f aca="false">COUNTIFS('Commercial People'!$A$2:$A$101,"Davino Winery",'Commercial People'!$C$2:$C$101,"Sales",'Commercial People'!$E$2:$E$101,K$2)</f>
        <v>0</v>
      </c>
      <c r="L13" s="70" t="n">
        <f aca="false">COUNTIFS('Commercial People'!$A$2:$A$101,"Davino Winery",'Commercial People'!$C$2:$C$101,"Sales",'Commercial People'!$E$2:$E$101,L$2)</f>
        <v>2</v>
      </c>
      <c r="M13" s="70" t="n">
        <f aca="false">COUNTIFS('Commercial People'!$A$2:$A$101,"Davino Winery",'Commercial People'!$C$2:$C$101,"Sales",'Commercial People'!$E$2:$E$101,M$2)</f>
        <v>0</v>
      </c>
      <c r="N13" s="70" t="n">
        <f aca="false">COUNTIFS('Commercial People'!$A$2:$A$101,"Davino Winery",'Commercial People'!$C$2:$C$101,"Sales",'Commercial People'!$E$2:$E$101,N$2)</f>
        <v>0</v>
      </c>
      <c r="O13" s="70" t="n">
        <f aca="false">COUNTIFS('Commercial People'!$A$2:$A$101,"Davino Winery",'Commercial People'!$C$2:$C$101,"Sales",'Commercial People'!$E$2:$E$101,O$2)</f>
        <v>0</v>
      </c>
      <c r="P13" s="70" t="n">
        <f aca="false">COUNTIFS('Commercial People'!$A$2:$A$101,"Davino Winery",'Commercial People'!$C$2:$C$101,"Sales",'Commercial People'!$E$2:$E$101,P$2)</f>
        <v>0</v>
      </c>
      <c r="Q13" s="70" t="n">
        <f aca="false">COUNTIFS('Commercial People'!$A$2:$A$101,"Davino Winery",'Commercial People'!$C$2:$C$101,"Sales",'Commercial People'!$E$2:$E$101,Q$2)</f>
        <v>0</v>
      </c>
      <c r="R13" s="70" t="n">
        <f aca="false">COUNTIFS('Commercial People'!$A$2:$A$101,"Davino Winery",'Commercial People'!$C$2:$C$101,"Sales",'Commercial People'!$E$2:$E$101,R$2)</f>
        <v>1</v>
      </c>
      <c r="S13" s="70" t="n">
        <f aca="false">COUNTIFS('Commercial People'!$A$2:$A$101,"Davino Winery",'Commercial People'!$C$2:$C$101,"Sales",'Commercial People'!$E$2:$E$101,S$2)</f>
        <v>0</v>
      </c>
      <c r="T13" s="70" t="n">
        <f aca="false">COUNTIFS('Commercial People'!$A$2:$A$101,"Davino Winery",'Commercial People'!$C$2:$C$101,"Sales",'Commercial People'!$E$2:$E$101,T$2)</f>
        <v>0</v>
      </c>
      <c r="U13" s="71" t="n">
        <f aca="false">SUM(J13:T13)</f>
        <v>4</v>
      </c>
      <c r="V13" s="71" t="n">
        <f aca="false">I13+U13</f>
        <v>5</v>
      </c>
    </row>
    <row r="14" customFormat="false" ht="22.5" hidden="false" customHeight="true" outlineLevel="0" collapsed="false">
      <c r="A14" s="53" t="s">
        <v>27</v>
      </c>
      <c r="B14" s="70" t="n">
        <f aca="false">COUNTIFS('Commercial People'!$A$2:$A$101,"Domeniile Ostrov",'Commercial People'!$C$2:$C$101,"Marketing",'Commercial People'!$E$2:$E$101,B$2)</f>
        <v>0</v>
      </c>
      <c r="C14" s="70" t="n">
        <f aca="false">COUNTIFS('Commercial People'!$A$2:$A$101,"Domeniile Ostrov",'Commercial People'!$C$2:$C$101,"Marketing",'Commercial People'!$E$2:$E$101,C$2)</f>
        <v>1</v>
      </c>
      <c r="D14" s="70" t="n">
        <f aca="false">COUNTIFS('Commercial People'!$A$2:$A$101,"Domeniile Ostrov",'Commercial People'!$C$2:$C$101,"Marketing",'Commercial People'!$E$2:$E$101,D$2)</f>
        <v>0</v>
      </c>
      <c r="E14" s="70" t="n">
        <f aca="false">COUNTIFS('Commercial People'!$A$2:$A$101,"Domeniile Ostrov",'Commercial People'!$C$2:$C$101,"Marketing",'Commercial People'!$E$2:$E$101,E$2)</f>
        <v>0</v>
      </c>
      <c r="F14" s="70" t="n">
        <f aca="false">COUNTIFS('Commercial People'!$A$2:$A$101,"Domeniile Ostrov",'Commercial People'!$C$2:$C$101,"Marketing",'Commercial People'!$E$2:$E$101,F$2)</f>
        <v>0</v>
      </c>
      <c r="G14" s="70" t="n">
        <f aca="false">COUNTIFS('Commercial People'!$A$2:$A$101,"Domeniile Ostrov",'Commercial People'!$C$2:$C$101,"Marketing",'Commercial People'!$E$2:$E$101,G$2)</f>
        <v>0</v>
      </c>
      <c r="H14" s="70" t="n">
        <f aca="false">COUNTIFS('Commercial People'!$A$2:$A$101,"Domeniile Ostrov",'Commercial People'!$C$2:$C$101,"Marketing",'Commercial People'!$E$2:$E$101,H$2)</f>
        <v>0</v>
      </c>
      <c r="I14" s="71" t="n">
        <f aca="false">SUM(B14:H14)</f>
        <v>1</v>
      </c>
      <c r="J14" s="70" t="n">
        <f aca="false">COUNTIFS('Commercial People'!$A$2:$A$101,"Domeniile Ostrov",'Commercial People'!$C$2:$C$101,"Sales",'Commercial People'!$E$2:$E$101,J$2)</f>
        <v>1</v>
      </c>
      <c r="K14" s="70" t="n">
        <f aca="false">COUNTIFS('Commercial People'!$A$2:$A$101,"Domeniile Ostrov",'Commercial People'!$C$2:$C$101,"Sales",'Commercial People'!$E$2:$E$101,K$2)</f>
        <v>0</v>
      </c>
      <c r="L14" s="70" t="n">
        <f aca="false">COUNTIFS('Commercial People'!$A$2:$A$101,"Domeniile Ostrov",'Commercial People'!$C$2:$C$101,"Sales",'Commercial People'!$E$2:$E$101,L$2)</f>
        <v>1</v>
      </c>
      <c r="M14" s="70" t="n">
        <f aca="false">COUNTIFS('Commercial People'!$A$2:$A$101,"Domeniile Ostrov",'Commercial People'!$C$2:$C$101,"Sales",'Commercial People'!$E$2:$E$101,M$2)</f>
        <v>0</v>
      </c>
      <c r="N14" s="70" t="n">
        <f aca="false">COUNTIFS('Commercial People'!$A$2:$A$101,"Domeniile Ostrov",'Commercial People'!$C$2:$C$101,"Sales",'Commercial People'!$E$2:$E$101,N$2)</f>
        <v>0</v>
      </c>
      <c r="O14" s="70" t="n">
        <f aca="false">COUNTIFS('Commercial People'!$A$2:$A$101,"Domeniile Ostrov",'Commercial People'!$C$2:$C$101,"Sales",'Commercial People'!$E$2:$E$101,O$2)</f>
        <v>0</v>
      </c>
      <c r="P14" s="70" t="n">
        <f aca="false">COUNTIFS('Commercial People'!$A$2:$A$101,"Domeniile Ostrov",'Commercial People'!$C$2:$C$101,"Sales",'Commercial People'!$E$2:$E$101,P$2)</f>
        <v>0</v>
      </c>
      <c r="Q14" s="70" t="n">
        <f aca="false">COUNTIFS('Commercial People'!$A$2:$A$101,"Domeniile Ostrov",'Commercial People'!$C$2:$C$101,"Sales",'Commercial People'!$E$2:$E$101,Q$2)</f>
        <v>0</v>
      </c>
      <c r="R14" s="70" t="n">
        <f aca="false">COUNTIFS('Commercial People'!$A$2:$A$101,"Domeniile Ostrov",'Commercial People'!$C$2:$C$101,"Sales",'Commercial People'!$E$2:$E$101,R$2)</f>
        <v>0</v>
      </c>
      <c r="S14" s="70" t="n">
        <f aca="false">COUNTIFS('Commercial People'!$A$2:$A$101,"Domeniile Ostrov",'Commercial People'!$C$2:$C$101,"Sales",'Commercial People'!$E$2:$E$101,S$2)</f>
        <v>0</v>
      </c>
      <c r="T14" s="70" t="n">
        <f aca="false">COUNTIFS('Commercial People'!$A$2:$A$101,"Domeniile Ostrov",'Commercial People'!$C$2:$C$101,"Sales",'Commercial People'!$E$2:$E$101,T$2)</f>
        <v>0</v>
      </c>
      <c r="U14" s="71" t="n">
        <f aca="false">SUM(J14:T14)</f>
        <v>2</v>
      </c>
      <c r="V14" s="71" t="n">
        <f aca="false">I14+U14</f>
        <v>3</v>
      </c>
    </row>
    <row r="15" customFormat="false" ht="22.5" hidden="false" customHeight="true" outlineLevel="0" collapsed="false">
      <c r="A15" s="53" t="s">
        <v>3568</v>
      </c>
      <c r="B15" s="70" t="n">
        <f aca="false">COUNTIFS('Commercial People'!$A$2:$A$101,"Casa de Vinuri Cotnari",'Commercial People'!$C$2:$C$101,"Marketing",'Commercial People'!$E$2:$E$101,B$2)</f>
        <v>0</v>
      </c>
      <c r="C15" s="70" t="n">
        <f aca="false">COUNTIFS('Commercial People'!$A$2:$A$101,"Casa de Vinuri Cotnari",'Commercial People'!$C$2:$C$101,"Marketing",'Commercial People'!$E$2:$E$101,C$2)</f>
        <v>0</v>
      </c>
      <c r="D15" s="70" t="n">
        <f aca="false">COUNTIFS('Commercial People'!$A$2:$A$101,"Casa de Vinuri Cotnari",'Commercial People'!$C$2:$C$101,"Marketing",'Commercial People'!$E$2:$E$101,D$2)</f>
        <v>0</v>
      </c>
      <c r="E15" s="70" t="n">
        <f aca="false">COUNTIFS('Commercial People'!$A$2:$A$101,"Casa de Vinuri Cotnari",'Commercial People'!$C$2:$C$101,"Marketing",'Commercial People'!$E$2:$E$101,E$2)</f>
        <v>0</v>
      </c>
      <c r="F15" s="70" t="n">
        <f aca="false">COUNTIFS('Commercial People'!$A$2:$A$101,"Casa de Vinuri Cotnari",'Commercial People'!$C$2:$C$101,"Marketing",'Commercial People'!$E$2:$E$101,F$2)</f>
        <v>0</v>
      </c>
      <c r="G15" s="70" t="n">
        <f aca="false">COUNTIFS('Commercial People'!$A$2:$A$101,"Casa de Vinuri Cotnari",'Commercial People'!$C$2:$C$101,"Marketing",'Commercial People'!$E$2:$E$101,G$2)</f>
        <v>0</v>
      </c>
      <c r="H15" s="70" t="n">
        <f aca="false">COUNTIFS('Commercial People'!$A$2:$A$101,"Casa de Vinuri Cotnari",'Commercial People'!$C$2:$C$101,"Marketing",'Commercial People'!$E$2:$E$101,H$2)</f>
        <v>0</v>
      </c>
      <c r="I15" s="71" t="n">
        <f aca="false">SUM(B15:H15)</f>
        <v>0</v>
      </c>
      <c r="J15" s="70" t="n">
        <f aca="false">COUNTIFS('Commercial People'!$A$2:$A$101,"Casa de Vinuri Cotnari",'Commercial People'!$C$2:$C$101,"Sales",'Commercial People'!$E$2:$E$101,J$2)</f>
        <v>0</v>
      </c>
      <c r="K15" s="70" t="n">
        <f aca="false">COUNTIFS('Commercial People'!$A$2:$A$101,"Casa de Vinuri Cotnari",'Commercial People'!$C$2:$C$101,"Sales",'Commercial People'!$E$2:$E$101,K$2)</f>
        <v>0</v>
      </c>
      <c r="L15" s="70" t="n">
        <f aca="false">COUNTIFS('Commercial People'!$A$2:$A$101,"Casa de Vinuri Cotnari",'Commercial People'!$C$2:$C$101,"Sales",'Commercial People'!$E$2:$E$101,L$2)</f>
        <v>1</v>
      </c>
      <c r="M15" s="70" t="n">
        <f aca="false">COUNTIFS('Commercial People'!$A$2:$A$101,"Casa de Vinuri Cotnari",'Commercial People'!$C$2:$C$101,"Sales",'Commercial People'!$E$2:$E$101,M$2)</f>
        <v>0</v>
      </c>
      <c r="N15" s="70" t="n">
        <f aca="false">COUNTIFS('Commercial People'!$A$2:$A$101,"Casa de Vinuri Cotnari",'Commercial People'!$C$2:$C$101,"Sales",'Commercial People'!$E$2:$E$101,N$2)</f>
        <v>1</v>
      </c>
      <c r="O15" s="70" t="n">
        <f aca="false">COUNTIFS('Commercial People'!$A$2:$A$101,"Casa de Vinuri Cotnari",'Commercial People'!$C$2:$C$101,"Sales",'Commercial People'!$E$2:$E$101,O$2)</f>
        <v>0</v>
      </c>
      <c r="P15" s="70" t="n">
        <f aca="false">COUNTIFS('Commercial People'!$A$2:$A$101,"Casa de Vinuri Cotnari",'Commercial People'!$C$2:$C$101,"Sales",'Commercial People'!$E$2:$E$101,P$2)</f>
        <v>0</v>
      </c>
      <c r="Q15" s="70" t="n">
        <f aca="false">COUNTIFS('Commercial People'!$A$2:$A$101,"Casa de Vinuri Cotnari",'Commercial People'!$C$2:$C$101,"Sales",'Commercial People'!$E$2:$E$101,Q$2)</f>
        <v>0</v>
      </c>
      <c r="R15" s="70" t="n">
        <f aca="false">COUNTIFS('Commercial People'!$A$2:$A$101,"Casa de Vinuri Cotnari",'Commercial People'!$C$2:$C$101,"Sales",'Commercial People'!$E$2:$E$101,R$2)</f>
        <v>0</v>
      </c>
      <c r="S15" s="70" t="n">
        <f aca="false">COUNTIFS('Commercial People'!$A$2:$A$101,"Casa de Vinuri Cotnari",'Commercial People'!$C$2:$C$101,"Sales",'Commercial People'!$E$2:$E$101,S$2)</f>
        <v>0</v>
      </c>
      <c r="T15" s="70" t="n">
        <f aca="false">COUNTIFS('Commercial People'!$A$2:$A$101,"Casa de Vinuri Cotnari",'Commercial People'!$C$2:$C$101,"Sales",'Commercial People'!$E$2:$E$101,T$2)</f>
        <v>0</v>
      </c>
      <c r="U15" s="71" t="n">
        <f aca="false">SUM(J15:T15)</f>
        <v>2</v>
      </c>
      <c r="V15" s="71" t="n">
        <f aca="false">I15+U15</f>
        <v>2</v>
      </c>
    </row>
    <row r="16" customFormat="false" ht="22.5" hidden="false" customHeight="true" outlineLevel="0" collapsed="false">
      <c r="A16" s="53" t="s">
        <v>30</v>
      </c>
      <c r="B16" s="70" t="n">
        <f aca="false">COUNTIFS('Commercial People'!$A$2:$A$101,"Zarea",'Commercial People'!$C$2:$C$101,"Marketing",'Commercial People'!$E$2:$E$101,B$2)</f>
        <v>1</v>
      </c>
      <c r="C16" s="70" t="n">
        <f aca="false">COUNTIFS('Commercial People'!$A$2:$A$101,"Zarea",'Commercial People'!$C$2:$C$101,"Marketing",'Commercial People'!$E$2:$E$101,C$2)</f>
        <v>0</v>
      </c>
      <c r="D16" s="70" t="n">
        <f aca="false">COUNTIFS('Commercial People'!$A$2:$A$101,"Zarea",'Commercial People'!$C$2:$C$101,"Marketing",'Commercial People'!$E$2:$E$101,D$2)</f>
        <v>1</v>
      </c>
      <c r="E16" s="70" t="n">
        <f aca="false">COUNTIFS('Commercial People'!$A$2:$A$101,"Zarea",'Commercial People'!$C$2:$C$101,"Marketing",'Commercial People'!$E$2:$E$101,E$2)</f>
        <v>0</v>
      </c>
      <c r="F16" s="70" t="n">
        <f aca="false">COUNTIFS('Commercial People'!$A$2:$A$101,"Zarea",'Commercial People'!$C$2:$C$101,"Marketing",'Commercial People'!$E$2:$E$101,F$2)</f>
        <v>0</v>
      </c>
      <c r="G16" s="70" t="n">
        <f aca="false">COUNTIFS('Commercial People'!$A$2:$A$101,"Zarea",'Commercial People'!$C$2:$C$101,"Marketing",'Commercial People'!$E$2:$E$101,G$2)</f>
        <v>0</v>
      </c>
      <c r="H16" s="70" t="n">
        <f aca="false">COUNTIFS('Commercial People'!$A$2:$A$101,"Zarea",'Commercial People'!$C$2:$C$101,"Marketing",'Commercial People'!$E$2:$E$101,H$2)</f>
        <v>0</v>
      </c>
      <c r="I16" s="71" t="n">
        <f aca="false">SUM(B16:H16)</f>
        <v>2</v>
      </c>
      <c r="J16" s="70" t="n">
        <f aca="false">COUNTIFS('Commercial People'!$A$2:$A$101,"Zarea",'Commercial People'!$C$2:$C$101,"Sales",'Commercial People'!$E$2:$E$101,J$2)</f>
        <v>1</v>
      </c>
      <c r="K16" s="70" t="n">
        <f aca="false">COUNTIFS('Commercial People'!$A$2:$A$101,"Zarea",'Commercial People'!$C$2:$C$101,"Sales",'Commercial People'!$E$2:$E$101,K$2)</f>
        <v>0</v>
      </c>
      <c r="L16" s="70" t="n">
        <f aca="false">COUNTIFS('Commercial People'!$A$2:$A$101,"Zarea",'Commercial People'!$C$2:$C$101,"Sales",'Commercial People'!$E$2:$E$101,L$2)</f>
        <v>1</v>
      </c>
      <c r="M16" s="70" t="n">
        <f aca="false">COUNTIFS('Commercial People'!$A$2:$A$101,"Zarea",'Commercial People'!$C$2:$C$101,"Sales",'Commercial People'!$E$2:$E$101,M$2)</f>
        <v>0</v>
      </c>
      <c r="N16" s="70" t="n">
        <f aca="false">COUNTIFS('Commercial People'!$A$2:$A$101,"Zarea",'Commercial People'!$C$2:$C$101,"Sales",'Commercial People'!$E$2:$E$101,N$2)</f>
        <v>0</v>
      </c>
      <c r="O16" s="70" t="n">
        <f aca="false">COUNTIFS('Commercial People'!$A$2:$A$101,"Zarea",'Commercial People'!$C$2:$C$101,"Sales",'Commercial People'!$E$2:$E$101,O$2)</f>
        <v>0</v>
      </c>
      <c r="P16" s="70" t="n">
        <f aca="false">COUNTIFS('Commercial People'!$A$2:$A$101,"Zarea",'Commercial People'!$C$2:$C$101,"Sales",'Commercial People'!$E$2:$E$101,P$2)</f>
        <v>0</v>
      </c>
      <c r="Q16" s="70" t="n">
        <f aca="false">COUNTIFS('Commercial People'!$A$2:$A$101,"Zarea",'Commercial People'!$C$2:$C$101,"Sales",'Commercial People'!$E$2:$E$101,Q$2)</f>
        <v>0</v>
      </c>
      <c r="R16" s="70" t="n">
        <f aca="false">COUNTIFS('Commercial People'!$A$2:$A$101,"Zarea",'Commercial People'!$C$2:$C$101,"Sales",'Commercial People'!$E$2:$E$101,R$2)</f>
        <v>0</v>
      </c>
      <c r="S16" s="70" t="n">
        <f aca="false">COUNTIFS('Commercial People'!$A$2:$A$101,"Zarea",'Commercial People'!$C$2:$C$101,"Sales",'Commercial People'!$E$2:$E$101,S$2)</f>
        <v>0</v>
      </c>
      <c r="T16" s="70" t="n">
        <f aca="false">COUNTIFS('Commercial People'!$A$2:$A$101,"Zarea",'Commercial People'!$C$2:$C$101,"Sales",'Commercial People'!$E$2:$E$101,T$2)</f>
        <v>0</v>
      </c>
      <c r="U16" s="71" t="n">
        <f aca="false">SUM(J16:T16)</f>
        <v>2</v>
      </c>
      <c r="V16" s="71" t="n">
        <f aca="false">I16+U16</f>
        <v>4</v>
      </c>
    </row>
    <row r="17" customFormat="false" ht="22.5" hidden="false" customHeight="true" outlineLevel="0" collapsed="false">
      <c r="A17" s="72" t="s">
        <v>32</v>
      </c>
      <c r="B17" s="73" t="n">
        <f aca="false">COUNTIFS('Commercial People'!$A$2:$A$101,"Via Viticola",'Commercial People'!$C$2:$C$101,"Marketing",'Commercial People'!$E$2:$E$101,B$2)+COUNTIFS('Commercial People'!$A$2:$A$101,"Via Viticola / Vintruvian Estates",'Commercial People'!$C$2:$C$101,"Marketing",'Commercial People'!$E$2:$E$101,B$2)</f>
        <v>1</v>
      </c>
      <c r="C17" s="73" t="n">
        <f aca="false">COUNTIFS('Commercial People'!$A$2:$A$101,"Via Viticola",'Commercial People'!$C$2:$C$101,"Marketing",'Commercial People'!$E$2:$E$101,C$2)+COUNTIFS('Commercial People'!$A$2:$A$101,"Via Viticola / Vintruvian Estates",'Commercial People'!$C$2:$C$101,"Marketing",'Commercial People'!$E$2:$E$101,C$2)</f>
        <v>2</v>
      </c>
      <c r="D17" s="73" t="n">
        <f aca="false">COUNTIFS('Commercial People'!$A$2:$A$101,"Via Viticola",'Commercial People'!$C$2:$C$101,"Marketing",'Commercial People'!$E$2:$E$101,D$2)+COUNTIFS('Commercial People'!$A$2:$A$101,"Via Viticola / Vintruvian Estates",'Commercial People'!$C$2:$C$101,"Marketing",'Commercial People'!$E$2:$E$101,D$2)</f>
        <v>0</v>
      </c>
      <c r="E17" s="73" t="n">
        <f aca="false">COUNTIFS('Commercial People'!$A$2:$A$101,"Via Viticola",'Commercial People'!$C$2:$C$101,"Marketing",'Commercial People'!$E$2:$E$101,E$2)+COUNTIFS('Commercial People'!$A$2:$A$101,"Via Viticola / Vintruvian Estates",'Commercial People'!$C$2:$C$101,"Marketing",'Commercial People'!$E$2:$E$101,E$2)</f>
        <v>0</v>
      </c>
      <c r="F17" s="73" t="n">
        <f aca="false">COUNTIFS('Commercial People'!$A$2:$A$101,"Via Viticola",'Commercial People'!$C$2:$C$101,"Marketing",'Commercial People'!$E$2:$E$101,F$2)+COUNTIFS('Commercial People'!$A$2:$A$101,"Via Viticola / Vintruvian Estates",'Commercial People'!$C$2:$C$101,"Marketing",'Commercial People'!$E$2:$E$101,F$2)</f>
        <v>0</v>
      </c>
      <c r="G17" s="73" t="n">
        <f aca="false">COUNTIFS('Commercial People'!$A$2:$A$101,"Via Viticola",'Commercial People'!$C$2:$C$101,"Marketing",'Commercial People'!$E$2:$E$101,G$2)+COUNTIFS('Commercial People'!$A$2:$A$101,"Via Viticola / Vintruvian Estates",'Commercial People'!$C$2:$C$101,"Marketing",'Commercial People'!$E$2:$E$101,G$2)</f>
        <v>0</v>
      </c>
      <c r="H17" s="73" t="n">
        <f aca="false">COUNTIFS('Commercial People'!$A$2:$A$101,"Via Viticola",'Commercial People'!$C$2:$C$101,"Marketing",'Commercial People'!$E$2:$E$101,H$2)+COUNTIFS('Commercial People'!$A$2:$A$101,"Via Viticola / Vintruvian Estates",'Commercial People'!$C$2:$C$101,"Marketing",'Commercial People'!$E$2:$E$101,H$2)</f>
        <v>0</v>
      </c>
      <c r="I17" s="74" t="n">
        <f aca="false">SUM(B17:H17)</f>
        <v>3</v>
      </c>
      <c r="J17" s="73" t="n">
        <f aca="false">COUNTIFS('Commercial People'!$A$2:$A$101,"Via Viticola",'Commercial People'!$C$2:$C$101,"Sales",'Commercial People'!$E$2:$E$101,J$2)+COUNTIFS('Commercial People'!$A$2:$A$101,"Via Viticola / Vintruvian Estates",'Commercial People'!$C$2:$C$101,"Sales",'Commercial People'!$E$2:$E$101,J$2)</f>
        <v>0</v>
      </c>
      <c r="K17" s="73" t="n">
        <f aca="false">COUNTIFS('Commercial People'!$A$2:$A$101,"Via Viticola",'Commercial People'!$C$2:$C$101,"Sales",'Commercial People'!$E$2:$E$101,K$2)+COUNTIFS('Commercial People'!$A$2:$A$101,"Via Viticola / Vintruvian Estates",'Commercial People'!$C$2:$C$101,"Sales",'Commercial People'!$E$2:$E$101,K$2)</f>
        <v>0</v>
      </c>
      <c r="L17" s="73" t="n">
        <f aca="false">COUNTIFS('Commercial People'!$A$2:$A$101,"Via Viticola",'Commercial People'!$C$2:$C$101,"Sales",'Commercial People'!$E$2:$E$101,L$2)+COUNTIFS('Commercial People'!$A$2:$A$101,"Via Viticola / Vintruvian Estates",'Commercial People'!$C$2:$C$101,"Sales",'Commercial People'!$E$2:$E$101,L$2)</f>
        <v>1</v>
      </c>
      <c r="M17" s="73" t="n">
        <f aca="false">COUNTIFS('Commercial People'!$A$2:$A$101,"Via Viticola",'Commercial People'!$C$2:$C$101,"Sales",'Commercial People'!$E$2:$E$101,M$2)+COUNTIFS('Commercial People'!$A$2:$A$101,"Via Viticola / Vintruvian Estates",'Commercial People'!$C$2:$C$101,"Sales",'Commercial People'!$E$2:$E$101,M$2)</f>
        <v>1</v>
      </c>
      <c r="N17" s="73" t="n">
        <f aca="false">COUNTIFS('Commercial People'!$A$2:$A$101,"Via Viticola",'Commercial People'!$C$2:$C$101,"Sales",'Commercial People'!$E$2:$E$101,N$2)+COUNTIFS('Commercial People'!$A$2:$A$101,"Via Viticola / Vintruvian Estates",'Commercial People'!$C$2:$C$101,"Sales",'Commercial People'!$E$2:$E$101,N$2)</f>
        <v>1</v>
      </c>
      <c r="O17" s="73" t="n">
        <f aca="false">COUNTIFS('Commercial People'!$A$2:$A$101,"Via Viticola",'Commercial People'!$C$2:$C$101,"Sales",'Commercial People'!$E$2:$E$101,O$2)+COUNTIFS('Commercial People'!$A$2:$A$101,"Via Viticola / Vintruvian Estates",'Commercial People'!$C$2:$C$101,"Sales",'Commercial People'!$E$2:$E$101,O$2)</f>
        <v>1</v>
      </c>
      <c r="P17" s="73" t="n">
        <f aca="false">COUNTIFS('Commercial People'!$A$2:$A$101,"Via Viticola",'Commercial People'!$C$2:$C$101,"Sales",'Commercial People'!$E$2:$E$101,P$2)+COUNTIFS('Commercial People'!$A$2:$A$101,"Via Viticola / Vintruvian Estates",'Commercial People'!$C$2:$C$101,"Sales",'Commercial People'!$E$2:$E$101,P$2)</f>
        <v>0</v>
      </c>
      <c r="Q17" s="73" t="n">
        <f aca="false">COUNTIFS('Commercial People'!$A$2:$A$101,"Via Viticola",'Commercial People'!$C$2:$C$101,"Sales",'Commercial People'!$E$2:$E$101,Q$2)+COUNTIFS('Commercial People'!$A$2:$A$101,"Via Viticola / Vintruvian Estates",'Commercial People'!$C$2:$C$101,"Sales",'Commercial People'!$E$2:$E$101,Q$2)</f>
        <v>0</v>
      </c>
      <c r="R17" s="73" t="n">
        <f aca="false">COUNTIFS('Commercial People'!$A$2:$A$101,"Via Viticola",'Commercial People'!$C$2:$C$101,"Sales",'Commercial People'!$E$2:$E$101,R$2)+COUNTIFS('Commercial People'!$A$2:$A$101,"Via Viticola / Vintruvian Estates",'Commercial People'!$C$2:$C$101,"Sales",'Commercial People'!$E$2:$E$101,R$2)</f>
        <v>0</v>
      </c>
      <c r="S17" s="73" t="n">
        <f aca="false">COUNTIFS('Commercial People'!$A$2:$A$101,"Via Viticola",'Commercial People'!$C$2:$C$101,"Sales",'Commercial People'!$E$2:$E$101,S$2)+COUNTIFS('Commercial People'!$A$2:$A$101,"Via Viticola / Vintruvian Estates",'Commercial People'!$C$2:$C$101,"Sales",'Commercial People'!$E$2:$E$101,S$2)</f>
        <v>0</v>
      </c>
      <c r="T17" s="73" t="n">
        <f aca="false">COUNTIFS('Commercial People'!$A$2:$A$101,"Via Viticola",'Commercial People'!$C$2:$C$101,"Sales",'Commercial People'!$E$2:$E$101,T$2)+COUNTIFS('Commercial People'!$A$2:$A$101,"Via Viticola / Vintruvian Estates",'Commercial People'!$C$2:$C$101,"Sales",'Commercial People'!$E$2:$E$101,T$2)</f>
        <v>0</v>
      </c>
      <c r="U17" s="74" t="n">
        <f aca="false">SUM(J17:T17)</f>
        <v>4</v>
      </c>
      <c r="V17" s="74" t="n">
        <f aca="false">I17+U17</f>
        <v>7</v>
      </c>
    </row>
    <row r="18" customFormat="false" ht="22.5" hidden="false" customHeight="true" outlineLevel="0" collapsed="false">
      <c r="A18" s="53" t="s">
        <v>34</v>
      </c>
      <c r="B18" s="70" t="n">
        <f aca="false">COUNTIFS('Commercial People'!$A$2:$A$101,"Crama Gîrboiu",'Commercial People'!$C$2:$C$101,"Marketing",'Commercial People'!$E$2:$E$101,B$2)</f>
        <v>0</v>
      </c>
      <c r="C18" s="70" t="n">
        <f aca="false">COUNTIFS('Commercial People'!$A$2:$A$101,"Crama Gîrboiu",'Commercial People'!$C$2:$C$101,"Marketing",'Commercial People'!$E$2:$E$101,C$2)</f>
        <v>0</v>
      </c>
      <c r="D18" s="70" t="n">
        <f aca="false">COUNTIFS('Commercial People'!$A$2:$A$101,"Crama Gîrboiu",'Commercial People'!$C$2:$C$101,"Marketing",'Commercial People'!$E$2:$E$101,D$2)</f>
        <v>0</v>
      </c>
      <c r="E18" s="70" t="n">
        <f aca="false">COUNTIFS('Commercial People'!$A$2:$A$101,"Crama Gîrboiu",'Commercial People'!$C$2:$C$101,"Marketing",'Commercial People'!$E$2:$E$101,E$2)</f>
        <v>0</v>
      </c>
      <c r="F18" s="70" t="n">
        <f aca="false">COUNTIFS('Commercial People'!$A$2:$A$101,"Crama Gîrboiu",'Commercial People'!$C$2:$C$101,"Marketing",'Commercial People'!$E$2:$E$101,F$2)</f>
        <v>0</v>
      </c>
      <c r="G18" s="70" t="n">
        <f aca="false">COUNTIFS('Commercial People'!$A$2:$A$101,"Crama Gîrboiu",'Commercial People'!$C$2:$C$101,"Marketing",'Commercial People'!$E$2:$E$101,G$2)</f>
        <v>0</v>
      </c>
      <c r="H18" s="70" t="n">
        <f aca="false">COUNTIFS('Commercial People'!$A$2:$A$101,"Crama Gîrboiu",'Commercial People'!$C$2:$C$101,"Marketing",'Commercial People'!$E$2:$E$101,H$2)</f>
        <v>0</v>
      </c>
      <c r="I18" s="71" t="n">
        <f aca="false">SUM(B18:H18)</f>
        <v>0</v>
      </c>
      <c r="J18" s="70" t="n">
        <f aca="false">COUNTIFS('Commercial People'!$A$2:$A$101,"Crama Gîrboiu",'Commercial People'!$C$2:$C$101,"Sales",'Commercial People'!$E$2:$E$101,J$2)</f>
        <v>0</v>
      </c>
      <c r="K18" s="70" t="n">
        <f aca="false">COUNTIFS('Commercial People'!$A$2:$A$101,"Crama Gîrboiu",'Commercial People'!$C$2:$C$101,"Sales",'Commercial People'!$E$2:$E$101,K$2)</f>
        <v>0</v>
      </c>
      <c r="L18" s="70" t="n">
        <f aca="false">COUNTIFS('Commercial People'!$A$2:$A$101,"Crama Gîrboiu",'Commercial People'!$C$2:$C$101,"Sales",'Commercial People'!$E$2:$E$101,L$2)</f>
        <v>0</v>
      </c>
      <c r="M18" s="70" t="n">
        <f aca="false">COUNTIFS('Commercial People'!$A$2:$A$101,"Crama Gîrboiu",'Commercial People'!$C$2:$C$101,"Sales",'Commercial People'!$E$2:$E$101,M$2)</f>
        <v>0</v>
      </c>
      <c r="N18" s="70" t="n">
        <f aca="false">COUNTIFS('Commercial People'!$A$2:$A$101,"Crama Gîrboiu",'Commercial People'!$C$2:$C$101,"Sales",'Commercial People'!$E$2:$E$101,N$2)</f>
        <v>0</v>
      </c>
      <c r="O18" s="70" t="n">
        <f aca="false">COUNTIFS('Commercial People'!$A$2:$A$101,"Crama Gîrboiu",'Commercial People'!$C$2:$C$101,"Sales",'Commercial People'!$E$2:$E$101,O$2)</f>
        <v>0</v>
      </c>
      <c r="P18" s="70" t="n">
        <f aca="false">COUNTIFS('Commercial People'!$A$2:$A$101,"Crama Gîrboiu",'Commercial People'!$C$2:$C$101,"Sales",'Commercial People'!$E$2:$E$101,P$2)</f>
        <v>0</v>
      </c>
      <c r="Q18" s="70" t="n">
        <f aca="false">COUNTIFS('Commercial People'!$A$2:$A$101,"Crama Gîrboiu",'Commercial People'!$C$2:$C$101,"Sales",'Commercial People'!$E$2:$E$101,Q$2)</f>
        <v>0</v>
      </c>
      <c r="R18" s="70" t="n">
        <f aca="false">COUNTIFS('Commercial People'!$A$2:$A$101,"Crama Gîrboiu",'Commercial People'!$C$2:$C$101,"Sales",'Commercial People'!$E$2:$E$101,R$2)</f>
        <v>0</v>
      </c>
      <c r="S18" s="70" t="n">
        <f aca="false">COUNTIFS('Commercial People'!$A$2:$A$101,"Crama Gîrboiu",'Commercial People'!$C$2:$C$101,"Sales",'Commercial People'!$E$2:$E$101,S$2)</f>
        <v>0</v>
      </c>
      <c r="T18" s="70" t="n">
        <f aca="false">COUNTIFS('Commercial People'!$A$2:$A$101,"Crama Gîrboiu",'Commercial People'!$C$2:$C$101,"Sales",'Commercial People'!$E$2:$E$101,T$2)</f>
        <v>0</v>
      </c>
      <c r="U18" s="71" t="n">
        <f aca="false">SUM(J18:T18)</f>
        <v>0</v>
      </c>
      <c r="V18" s="71" t="n">
        <f aca="false">I18+U18</f>
        <v>0</v>
      </c>
    </row>
    <row r="19" customFormat="false" ht="22.5" hidden="false" customHeight="true" outlineLevel="0" collapsed="false">
      <c r="A19" s="53" t="s">
        <v>36</v>
      </c>
      <c r="B19" s="70" t="n">
        <f aca="false">COUNTIFS('Commercial People'!$A$2:$A$101,"Domeniile Vânju Mare",'Commercial People'!$C$2:$C$101,"Marketing",'Commercial People'!$E$2:$E$101,B$2)</f>
        <v>0</v>
      </c>
      <c r="C19" s="70" t="n">
        <f aca="false">COUNTIFS('Commercial People'!$A$2:$A$101,"Domeniile Vânju Mare",'Commercial People'!$C$2:$C$101,"Marketing",'Commercial People'!$E$2:$E$101,C$2)</f>
        <v>0</v>
      </c>
      <c r="D19" s="70" t="n">
        <f aca="false">COUNTIFS('Commercial People'!$A$2:$A$101,"Domeniile Vânju Mare",'Commercial People'!$C$2:$C$101,"Marketing",'Commercial People'!$E$2:$E$101,D$2)</f>
        <v>0</v>
      </c>
      <c r="E19" s="70" t="n">
        <f aca="false">COUNTIFS('Commercial People'!$A$2:$A$101,"Domeniile Vânju Mare",'Commercial People'!$C$2:$C$101,"Marketing",'Commercial People'!$E$2:$E$101,E$2)</f>
        <v>0</v>
      </c>
      <c r="F19" s="70" t="n">
        <f aca="false">COUNTIFS('Commercial People'!$A$2:$A$101,"Domeniile Vânju Mare",'Commercial People'!$C$2:$C$101,"Marketing",'Commercial People'!$E$2:$E$101,F$2)</f>
        <v>0</v>
      </c>
      <c r="G19" s="70" t="n">
        <f aca="false">COUNTIFS('Commercial People'!$A$2:$A$101,"Domeniile Vânju Mare",'Commercial People'!$C$2:$C$101,"Marketing",'Commercial People'!$E$2:$E$101,G$2)</f>
        <v>0</v>
      </c>
      <c r="H19" s="70" t="n">
        <f aca="false">COUNTIFS('Commercial People'!$A$2:$A$101,"Domeniile Vânju Mare",'Commercial People'!$C$2:$C$101,"Marketing",'Commercial People'!$E$2:$E$101,H$2)</f>
        <v>0</v>
      </c>
      <c r="I19" s="71" t="n">
        <f aca="false">SUM(B19:H19)</f>
        <v>0</v>
      </c>
      <c r="J19" s="70" t="n">
        <f aca="false">COUNTIFS('Commercial People'!$A$2:$A$101,"Domeniile Vânju Mare",'Commercial People'!$C$2:$C$101,"Sales",'Commercial People'!$E$2:$E$101,J$2)</f>
        <v>0</v>
      </c>
      <c r="K19" s="70" t="n">
        <f aca="false">COUNTIFS('Commercial People'!$A$2:$A$101,"Domeniile Vânju Mare",'Commercial People'!$C$2:$C$101,"Sales",'Commercial People'!$E$2:$E$101,K$2)</f>
        <v>0</v>
      </c>
      <c r="L19" s="70" t="n">
        <f aca="false">COUNTIFS('Commercial People'!$A$2:$A$101,"Domeniile Vânju Mare",'Commercial People'!$C$2:$C$101,"Sales",'Commercial People'!$E$2:$E$101,L$2)</f>
        <v>0</v>
      </c>
      <c r="M19" s="70" t="n">
        <f aca="false">COUNTIFS('Commercial People'!$A$2:$A$101,"Domeniile Vânju Mare",'Commercial People'!$C$2:$C$101,"Sales",'Commercial People'!$E$2:$E$101,M$2)</f>
        <v>0</v>
      </c>
      <c r="N19" s="70" t="n">
        <f aca="false">COUNTIFS('Commercial People'!$A$2:$A$101,"Domeniile Vânju Mare",'Commercial People'!$C$2:$C$101,"Sales",'Commercial People'!$E$2:$E$101,N$2)</f>
        <v>0</v>
      </c>
      <c r="O19" s="70" t="n">
        <f aca="false">COUNTIFS('Commercial People'!$A$2:$A$101,"Domeniile Vânju Mare",'Commercial People'!$C$2:$C$101,"Sales",'Commercial People'!$E$2:$E$101,O$2)</f>
        <v>0</v>
      </c>
      <c r="P19" s="70" t="n">
        <f aca="false">COUNTIFS('Commercial People'!$A$2:$A$101,"Domeniile Vânju Mare",'Commercial People'!$C$2:$C$101,"Sales",'Commercial People'!$E$2:$E$101,P$2)</f>
        <v>0</v>
      </c>
      <c r="Q19" s="70" t="n">
        <f aca="false">COUNTIFS('Commercial People'!$A$2:$A$101,"Domeniile Vânju Mare",'Commercial People'!$C$2:$C$101,"Sales",'Commercial People'!$E$2:$E$101,Q$2)</f>
        <v>0</v>
      </c>
      <c r="R19" s="70" t="n">
        <f aca="false">COUNTIFS('Commercial People'!$A$2:$A$101,"Domeniile Vânju Mare",'Commercial People'!$C$2:$C$101,"Sales",'Commercial People'!$E$2:$E$101,R$2)</f>
        <v>0</v>
      </c>
      <c r="S19" s="70" t="n">
        <f aca="false">COUNTIFS('Commercial People'!$A$2:$A$101,"Domeniile Vânju Mare",'Commercial People'!$C$2:$C$101,"Sales",'Commercial People'!$E$2:$E$101,S$2)</f>
        <v>0</v>
      </c>
      <c r="T19" s="70" t="n">
        <f aca="false">COUNTIFS('Commercial People'!$A$2:$A$101,"Domeniile Vânju Mare",'Commercial People'!$C$2:$C$101,"Sales",'Commercial People'!$E$2:$E$101,T$2)</f>
        <v>0</v>
      </c>
      <c r="U19" s="71" t="n">
        <f aca="false">SUM(J19:T19)</f>
        <v>0</v>
      </c>
      <c r="V19" s="71" t="n">
        <f aca="false">I19+U19</f>
        <v>0</v>
      </c>
    </row>
    <row r="20" customFormat="false" ht="22.5" hidden="false" customHeight="true" outlineLevel="0" collapsed="false">
      <c r="A20" s="53" t="s">
        <v>38</v>
      </c>
      <c r="B20" s="70" t="n">
        <f aca="false">COUNTIFS('Commercial People'!$A$2:$A$101,"Licorna WineHouse",'Commercial People'!$C$2:$C$101,"Marketing",'Commercial People'!$E$2:$E$101,B$2)</f>
        <v>0</v>
      </c>
      <c r="C20" s="70" t="n">
        <f aca="false">COUNTIFS('Commercial People'!$A$2:$A$101,"Licorna WineHouse",'Commercial People'!$C$2:$C$101,"Marketing",'Commercial People'!$E$2:$E$101,C$2)</f>
        <v>0</v>
      </c>
      <c r="D20" s="70" t="n">
        <f aca="false">COUNTIFS('Commercial People'!$A$2:$A$101,"Licorna WineHouse",'Commercial People'!$C$2:$C$101,"Marketing",'Commercial People'!$E$2:$E$101,D$2)</f>
        <v>0</v>
      </c>
      <c r="E20" s="70" t="n">
        <f aca="false">COUNTIFS('Commercial People'!$A$2:$A$101,"Licorna WineHouse",'Commercial People'!$C$2:$C$101,"Marketing",'Commercial People'!$E$2:$E$101,E$2)</f>
        <v>0</v>
      </c>
      <c r="F20" s="70" t="n">
        <f aca="false">COUNTIFS('Commercial People'!$A$2:$A$101,"Licorna WineHouse",'Commercial People'!$C$2:$C$101,"Marketing",'Commercial People'!$E$2:$E$101,F$2)</f>
        <v>0</v>
      </c>
      <c r="G20" s="70" t="n">
        <f aca="false">COUNTIFS('Commercial People'!$A$2:$A$101,"Licorna WineHouse",'Commercial People'!$C$2:$C$101,"Marketing",'Commercial People'!$E$2:$E$101,G$2)</f>
        <v>0</v>
      </c>
      <c r="H20" s="70" t="n">
        <f aca="false">COUNTIFS('Commercial People'!$A$2:$A$101,"Licorna WineHouse",'Commercial People'!$C$2:$C$101,"Marketing",'Commercial People'!$E$2:$E$101,H$2)</f>
        <v>0</v>
      </c>
      <c r="I20" s="71" t="n">
        <f aca="false">SUM(B20:H20)</f>
        <v>0</v>
      </c>
      <c r="J20" s="70" t="n">
        <f aca="false">COUNTIFS('Commercial People'!$A$2:$A$101,"Licorna WineHouse",'Commercial People'!$C$2:$C$101,"Sales",'Commercial People'!$E$2:$E$101,J$2)</f>
        <v>0</v>
      </c>
      <c r="K20" s="70" t="n">
        <f aca="false">COUNTIFS('Commercial People'!$A$2:$A$101,"Licorna WineHouse",'Commercial People'!$C$2:$C$101,"Sales",'Commercial People'!$E$2:$E$101,K$2)</f>
        <v>0</v>
      </c>
      <c r="L20" s="70" t="n">
        <f aca="false">COUNTIFS('Commercial People'!$A$2:$A$101,"Licorna WineHouse",'Commercial People'!$C$2:$C$101,"Sales",'Commercial People'!$E$2:$E$101,L$2)</f>
        <v>0</v>
      </c>
      <c r="M20" s="70" t="n">
        <f aca="false">COUNTIFS('Commercial People'!$A$2:$A$101,"Licorna WineHouse",'Commercial People'!$C$2:$C$101,"Sales",'Commercial People'!$E$2:$E$101,M$2)</f>
        <v>0</v>
      </c>
      <c r="N20" s="70" t="n">
        <f aca="false">COUNTIFS('Commercial People'!$A$2:$A$101,"Licorna WineHouse",'Commercial People'!$C$2:$C$101,"Sales",'Commercial People'!$E$2:$E$101,N$2)</f>
        <v>0</v>
      </c>
      <c r="O20" s="70" t="n">
        <f aca="false">COUNTIFS('Commercial People'!$A$2:$A$101,"Licorna WineHouse",'Commercial People'!$C$2:$C$101,"Sales",'Commercial People'!$E$2:$E$101,O$2)</f>
        <v>0</v>
      </c>
      <c r="P20" s="70" t="n">
        <f aca="false">COUNTIFS('Commercial People'!$A$2:$A$101,"Licorna WineHouse",'Commercial People'!$C$2:$C$101,"Sales",'Commercial People'!$E$2:$E$101,P$2)</f>
        <v>0</v>
      </c>
      <c r="Q20" s="70" t="n">
        <f aca="false">COUNTIFS('Commercial People'!$A$2:$A$101,"Licorna WineHouse",'Commercial People'!$C$2:$C$101,"Sales",'Commercial People'!$E$2:$E$101,Q$2)</f>
        <v>0</v>
      </c>
      <c r="R20" s="70" t="n">
        <f aca="false">COUNTIFS('Commercial People'!$A$2:$A$101,"Licorna WineHouse",'Commercial People'!$C$2:$C$101,"Sales",'Commercial People'!$E$2:$E$101,R$2)</f>
        <v>0</v>
      </c>
      <c r="S20" s="70" t="n">
        <f aca="false">COUNTIFS('Commercial People'!$A$2:$A$101,"Licorna WineHouse",'Commercial People'!$C$2:$C$101,"Sales",'Commercial People'!$E$2:$E$101,S$2)</f>
        <v>0</v>
      </c>
      <c r="T20" s="70" t="n">
        <f aca="false">COUNTIFS('Commercial People'!$A$2:$A$101,"Licorna WineHouse",'Commercial People'!$C$2:$C$101,"Sales",'Commercial People'!$E$2:$E$101,T$2)</f>
        <v>0</v>
      </c>
      <c r="U20" s="71" t="n">
        <f aca="false">SUM(J20:T20)</f>
        <v>0</v>
      </c>
      <c r="V20" s="71" t="n">
        <f aca="false">I20+U20</f>
        <v>0</v>
      </c>
    </row>
    <row r="21" customFormat="false" ht="22.5" hidden="false" customHeight="true" outlineLevel="0" collapsed="false">
      <c r="A21" s="53" t="s">
        <v>41</v>
      </c>
      <c r="B21" s="70" t="n">
        <f aca="false">COUNTIFS('Commercial People'!$A$2:$A$101,"Gitana Winery",'Commercial People'!$C$2:$C$101,"Marketing",'Commercial People'!$E$2:$E$101,B$2)</f>
        <v>1</v>
      </c>
      <c r="C21" s="70" t="n">
        <f aca="false">COUNTIFS('Commercial People'!$A$2:$A$101,"Gitana Winery",'Commercial People'!$C$2:$C$101,"Marketing",'Commercial People'!$E$2:$E$101,C$2)</f>
        <v>0</v>
      </c>
      <c r="D21" s="70" t="n">
        <f aca="false">COUNTIFS('Commercial People'!$A$2:$A$101,"Gitana Winery",'Commercial People'!$C$2:$C$101,"Marketing",'Commercial People'!$E$2:$E$101,D$2)</f>
        <v>0</v>
      </c>
      <c r="E21" s="70" t="n">
        <f aca="false">COUNTIFS('Commercial People'!$A$2:$A$101,"Gitana Winery",'Commercial People'!$C$2:$C$101,"Marketing",'Commercial People'!$E$2:$E$101,E$2)</f>
        <v>0</v>
      </c>
      <c r="F21" s="70" t="n">
        <f aca="false">COUNTIFS('Commercial People'!$A$2:$A$101,"Gitana Winery",'Commercial People'!$C$2:$C$101,"Marketing",'Commercial People'!$E$2:$E$101,F$2)</f>
        <v>0</v>
      </c>
      <c r="G21" s="70" t="n">
        <f aca="false">COUNTIFS('Commercial People'!$A$2:$A$101,"Gitana Winery",'Commercial People'!$C$2:$C$101,"Marketing",'Commercial People'!$E$2:$E$101,G$2)</f>
        <v>0</v>
      </c>
      <c r="H21" s="70" t="n">
        <f aca="false">COUNTIFS('Commercial People'!$A$2:$A$101,"Gitana Winery",'Commercial People'!$C$2:$C$101,"Marketing",'Commercial People'!$E$2:$E$101,H$2)</f>
        <v>0</v>
      </c>
      <c r="I21" s="71" t="n">
        <f aca="false">SUM(B21:H21)</f>
        <v>1</v>
      </c>
      <c r="J21" s="70" t="n">
        <f aca="false">COUNTIFS('Commercial People'!$A$2:$A$101,"Gitana Winery",'Commercial People'!$C$2:$C$101,"Sales",'Commercial People'!$E$2:$E$101,J$2)</f>
        <v>0</v>
      </c>
      <c r="K21" s="70" t="n">
        <f aca="false">COUNTIFS('Commercial People'!$A$2:$A$101,"Gitana Winery",'Commercial People'!$C$2:$C$101,"Sales",'Commercial People'!$E$2:$E$101,K$2)</f>
        <v>0</v>
      </c>
      <c r="L21" s="70" t="n">
        <f aca="false">COUNTIFS('Commercial People'!$A$2:$A$101,"Gitana Winery",'Commercial People'!$C$2:$C$101,"Sales",'Commercial People'!$E$2:$E$101,L$2)</f>
        <v>1</v>
      </c>
      <c r="M21" s="70" t="n">
        <f aca="false">COUNTIFS('Commercial People'!$A$2:$A$101,"Gitana Winery",'Commercial People'!$C$2:$C$101,"Sales",'Commercial People'!$E$2:$E$101,M$2)</f>
        <v>0</v>
      </c>
      <c r="N21" s="70" t="n">
        <f aca="false">COUNTIFS('Commercial People'!$A$2:$A$101,"Gitana Winery",'Commercial People'!$C$2:$C$101,"Sales",'Commercial People'!$E$2:$E$101,N$2)</f>
        <v>0</v>
      </c>
      <c r="O21" s="70" t="n">
        <f aca="false">COUNTIFS('Commercial People'!$A$2:$A$101,"Gitana Winery",'Commercial People'!$C$2:$C$101,"Sales",'Commercial People'!$E$2:$E$101,O$2)</f>
        <v>0</v>
      </c>
      <c r="P21" s="70" t="n">
        <f aca="false">COUNTIFS('Commercial People'!$A$2:$A$101,"Gitana Winery",'Commercial People'!$C$2:$C$101,"Sales",'Commercial People'!$E$2:$E$101,P$2)</f>
        <v>0</v>
      </c>
      <c r="Q21" s="70" t="n">
        <f aca="false">COUNTIFS('Commercial People'!$A$2:$A$101,"Gitana Winery",'Commercial People'!$C$2:$C$101,"Sales",'Commercial People'!$E$2:$E$101,Q$2)</f>
        <v>0</v>
      </c>
      <c r="R21" s="70" t="n">
        <f aca="false">COUNTIFS('Commercial People'!$A$2:$A$101,"Gitana Winery",'Commercial People'!$C$2:$C$101,"Sales",'Commercial People'!$E$2:$E$101,R$2)</f>
        <v>0</v>
      </c>
      <c r="S21" s="70" t="n">
        <f aca="false">COUNTIFS('Commercial People'!$A$2:$A$101,"Gitana Winery",'Commercial People'!$C$2:$C$101,"Sales",'Commercial People'!$E$2:$E$101,S$2)</f>
        <v>0</v>
      </c>
      <c r="T21" s="70" t="n">
        <f aca="false">COUNTIFS('Commercial People'!$A$2:$A$101,"Gitana Winery",'Commercial People'!$C$2:$C$101,"Sales",'Commercial People'!$E$2:$E$101,T$2)</f>
        <v>0</v>
      </c>
      <c r="U21" s="71" t="n">
        <f aca="false">SUM(J21:T21)</f>
        <v>1</v>
      </c>
      <c r="V21" s="71" t="n">
        <f aca="false">I21+U21</f>
        <v>2</v>
      </c>
    </row>
    <row r="22" customFormat="false" ht="22.5" hidden="false" customHeight="true" outlineLevel="0" collapsed="false">
      <c r="A22" s="53" t="s">
        <v>44</v>
      </c>
      <c r="B22" s="70" t="n">
        <f aca="false">COUNTIFS('Commercial People'!$A$2:$A$101,"Domeniile Sâmburești",'Commercial People'!$C$2:$C$101,"Marketing",'Commercial People'!$E$2:$E$101,B$2)</f>
        <v>0</v>
      </c>
      <c r="C22" s="70" t="n">
        <f aca="false">COUNTIFS('Commercial People'!$A$2:$A$101,"Domeniile Sâmburești",'Commercial People'!$C$2:$C$101,"Marketing",'Commercial People'!$E$2:$E$101,C$2)</f>
        <v>0</v>
      </c>
      <c r="D22" s="70" t="n">
        <f aca="false">COUNTIFS('Commercial People'!$A$2:$A$101,"Domeniile Sâmburești",'Commercial People'!$C$2:$C$101,"Marketing",'Commercial People'!$E$2:$E$101,D$2)</f>
        <v>0</v>
      </c>
      <c r="E22" s="70" t="n">
        <f aca="false">COUNTIFS('Commercial People'!$A$2:$A$101,"Domeniile Sâmburești",'Commercial People'!$C$2:$C$101,"Marketing",'Commercial People'!$E$2:$E$101,E$2)</f>
        <v>0</v>
      </c>
      <c r="F22" s="70" t="n">
        <f aca="false">COUNTIFS('Commercial People'!$A$2:$A$101,"Domeniile Sâmburești",'Commercial People'!$C$2:$C$101,"Marketing",'Commercial People'!$E$2:$E$101,F$2)</f>
        <v>0</v>
      </c>
      <c r="G22" s="70" t="n">
        <f aca="false">COUNTIFS('Commercial People'!$A$2:$A$101,"Domeniile Sâmburești",'Commercial People'!$C$2:$C$101,"Marketing",'Commercial People'!$E$2:$E$101,G$2)</f>
        <v>0</v>
      </c>
      <c r="H22" s="70" t="n">
        <f aca="false">COUNTIFS('Commercial People'!$A$2:$A$101,"Domeniile Sâmburești",'Commercial People'!$C$2:$C$101,"Marketing",'Commercial People'!$E$2:$E$101,H$2)</f>
        <v>0</v>
      </c>
      <c r="I22" s="71" t="n">
        <f aca="false">SUM(B22:H22)</f>
        <v>0</v>
      </c>
      <c r="J22" s="70" t="n">
        <f aca="false">COUNTIFS('Commercial People'!$A$2:$A$101,"Domeniile Sâmburești",'Commercial People'!$C$2:$C$101,"Sales",'Commercial People'!$E$2:$E$101,J$2)</f>
        <v>0</v>
      </c>
      <c r="K22" s="70" t="n">
        <f aca="false">COUNTIFS('Commercial People'!$A$2:$A$101,"Domeniile Sâmburești",'Commercial People'!$C$2:$C$101,"Sales",'Commercial People'!$E$2:$E$101,K$2)</f>
        <v>0</v>
      </c>
      <c r="L22" s="70" t="n">
        <f aca="false">COUNTIFS('Commercial People'!$A$2:$A$101,"Domeniile Sâmburești",'Commercial People'!$C$2:$C$101,"Sales",'Commercial People'!$E$2:$E$101,L$2)</f>
        <v>0</v>
      </c>
      <c r="M22" s="70" t="n">
        <f aca="false">COUNTIFS('Commercial People'!$A$2:$A$101,"Domeniile Sâmburești",'Commercial People'!$C$2:$C$101,"Sales",'Commercial People'!$E$2:$E$101,M$2)</f>
        <v>0</v>
      </c>
      <c r="N22" s="70" t="n">
        <f aca="false">COUNTIFS('Commercial People'!$A$2:$A$101,"Domeniile Sâmburești",'Commercial People'!$C$2:$C$101,"Sales",'Commercial People'!$E$2:$E$101,N$2)</f>
        <v>0</v>
      </c>
      <c r="O22" s="70" t="n">
        <f aca="false">COUNTIFS('Commercial People'!$A$2:$A$101,"Domeniile Sâmburești",'Commercial People'!$C$2:$C$101,"Sales",'Commercial People'!$E$2:$E$101,O$2)</f>
        <v>0</v>
      </c>
      <c r="P22" s="70" t="n">
        <f aca="false">COUNTIFS('Commercial People'!$A$2:$A$101,"Domeniile Sâmburești",'Commercial People'!$C$2:$C$101,"Sales",'Commercial People'!$E$2:$E$101,P$2)</f>
        <v>0</v>
      </c>
      <c r="Q22" s="70" t="n">
        <f aca="false">COUNTIFS('Commercial People'!$A$2:$A$101,"Domeniile Sâmburești",'Commercial People'!$C$2:$C$101,"Sales",'Commercial People'!$E$2:$E$101,Q$2)</f>
        <v>0</v>
      </c>
      <c r="R22" s="70" t="n">
        <f aca="false">COUNTIFS('Commercial People'!$A$2:$A$101,"Domeniile Sâmburești",'Commercial People'!$C$2:$C$101,"Sales",'Commercial People'!$E$2:$E$101,R$2)</f>
        <v>0</v>
      </c>
      <c r="S22" s="70" t="n">
        <f aca="false">COUNTIFS('Commercial People'!$A$2:$A$101,"Domeniile Sâmburești",'Commercial People'!$C$2:$C$101,"Sales",'Commercial People'!$E$2:$E$101,S$2)</f>
        <v>0</v>
      </c>
      <c r="T22" s="70" t="n">
        <f aca="false">COUNTIFS('Commercial People'!$A$2:$A$101,"Domeniile Sâmburești",'Commercial People'!$C$2:$C$101,"Sales",'Commercial People'!$E$2:$E$101,T$2)</f>
        <v>0</v>
      </c>
      <c r="U22" s="71" t="n">
        <f aca="false">SUM(J22:T22)</f>
        <v>0</v>
      </c>
      <c r="V22" s="71" t="n">
        <f aca="false">I22+U22</f>
        <v>0</v>
      </c>
    </row>
    <row r="23" customFormat="false" ht="22.5" hidden="false" customHeight="true" outlineLevel="0" collapsed="false">
      <c r="A23" s="53" t="s">
        <v>46</v>
      </c>
      <c r="B23" s="70" t="n">
        <f aca="false">COUNTIFS('Commercial People'!$A$2:$A$101,"Crama Rasova",'Commercial People'!$C$2:$C$101,"Marketing",'Commercial People'!$E$2:$E$101,B$2)</f>
        <v>0</v>
      </c>
      <c r="C23" s="70" t="n">
        <f aca="false">COUNTIFS('Commercial People'!$A$2:$A$101,"Crama Rasova",'Commercial People'!$C$2:$C$101,"Marketing",'Commercial People'!$E$2:$E$101,C$2)</f>
        <v>0</v>
      </c>
      <c r="D23" s="70" t="n">
        <f aca="false">COUNTIFS('Commercial People'!$A$2:$A$101,"Crama Rasova",'Commercial People'!$C$2:$C$101,"Marketing",'Commercial People'!$E$2:$E$101,D$2)</f>
        <v>0</v>
      </c>
      <c r="E23" s="70" t="n">
        <f aca="false">COUNTIFS('Commercial People'!$A$2:$A$101,"Crama Rasova",'Commercial People'!$C$2:$C$101,"Marketing",'Commercial People'!$E$2:$E$101,E$2)</f>
        <v>0</v>
      </c>
      <c r="F23" s="70" t="n">
        <f aca="false">COUNTIFS('Commercial People'!$A$2:$A$101,"Crama Rasova",'Commercial People'!$C$2:$C$101,"Marketing",'Commercial People'!$E$2:$E$101,F$2)</f>
        <v>0</v>
      </c>
      <c r="G23" s="70" t="n">
        <f aca="false">COUNTIFS('Commercial People'!$A$2:$A$101,"Crama Rasova",'Commercial People'!$C$2:$C$101,"Marketing",'Commercial People'!$E$2:$E$101,G$2)</f>
        <v>0</v>
      </c>
      <c r="H23" s="70" t="n">
        <f aca="false">COUNTIFS('Commercial People'!$A$2:$A$101,"Crama Rasova",'Commercial People'!$C$2:$C$101,"Marketing",'Commercial People'!$E$2:$E$101,H$2)</f>
        <v>0</v>
      </c>
      <c r="I23" s="71" t="n">
        <f aca="false">SUM(B23:H23)</f>
        <v>0</v>
      </c>
      <c r="J23" s="70" t="n">
        <f aca="false">COUNTIFS('Commercial People'!$A$2:$A$101,"Crama Rasova",'Commercial People'!$C$2:$C$101,"Sales",'Commercial People'!$E$2:$E$101,J$2)</f>
        <v>0</v>
      </c>
      <c r="K23" s="70" t="n">
        <f aca="false">COUNTIFS('Commercial People'!$A$2:$A$101,"Crama Rasova",'Commercial People'!$C$2:$C$101,"Sales",'Commercial People'!$E$2:$E$101,K$2)</f>
        <v>0</v>
      </c>
      <c r="L23" s="70" t="n">
        <f aca="false">COUNTIFS('Commercial People'!$A$2:$A$101,"Crama Rasova",'Commercial People'!$C$2:$C$101,"Sales",'Commercial People'!$E$2:$E$101,L$2)</f>
        <v>0</v>
      </c>
      <c r="M23" s="70" t="n">
        <f aca="false">COUNTIFS('Commercial People'!$A$2:$A$101,"Crama Rasova",'Commercial People'!$C$2:$C$101,"Sales",'Commercial People'!$E$2:$E$101,M$2)</f>
        <v>0</v>
      </c>
      <c r="N23" s="70" t="n">
        <f aca="false">COUNTIFS('Commercial People'!$A$2:$A$101,"Crama Rasova",'Commercial People'!$C$2:$C$101,"Sales",'Commercial People'!$E$2:$E$101,N$2)</f>
        <v>0</v>
      </c>
      <c r="O23" s="70" t="n">
        <f aca="false">COUNTIFS('Commercial People'!$A$2:$A$101,"Crama Rasova",'Commercial People'!$C$2:$C$101,"Sales",'Commercial People'!$E$2:$E$101,O$2)</f>
        <v>0</v>
      </c>
      <c r="P23" s="70" t="n">
        <f aca="false">COUNTIFS('Commercial People'!$A$2:$A$101,"Crama Rasova",'Commercial People'!$C$2:$C$101,"Sales",'Commercial People'!$E$2:$E$101,P$2)</f>
        <v>0</v>
      </c>
      <c r="Q23" s="70" t="n">
        <f aca="false">COUNTIFS('Commercial People'!$A$2:$A$101,"Crama Rasova",'Commercial People'!$C$2:$C$101,"Sales",'Commercial People'!$E$2:$E$101,Q$2)</f>
        <v>0</v>
      </c>
      <c r="R23" s="70" t="n">
        <f aca="false">COUNTIFS('Commercial People'!$A$2:$A$101,"Crama Rasova",'Commercial People'!$C$2:$C$101,"Sales",'Commercial People'!$E$2:$E$101,R$2)</f>
        <v>0</v>
      </c>
      <c r="S23" s="70" t="n">
        <f aca="false">COUNTIFS('Commercial People'!$A$2:$A$101,"Crama Rasova",'Commercial People'!$C$2:$C$101,"Sales",'Commercial People'!$E$2:$E$101,S$2)</f>
        <v>0</v>
      </c>
      <c r="T23" s="70" t="n">
        <f aca="false">COUNTIFS('Commercial People'!$A$2:$A$101,"Crama Rasova",'Commercial People'!$C$2:$C$101,"Sales",'Commercial People'!$E$2:$E$101,T$2)</f>
        <v>0</v>
      </c>
      <c r="U23" s="71" t="n">
        <f aca="false">SUM(J23:T23)</f>
        <v>0</v>
      </c>
      <c r="V23" s="71" t="n">
        <f aca="false">I23+U23</f>
        <v>0</v>
      </c>
    </row>
    <row r="24" customFormat="false" ht="22.5" hidden="false" customHeight="true" outlineLevel="0" collapsed="false">
      <c r="A24" s="53" t="s">
        <v>48</v>
      </c>
      <c r="B24" s="70" t="n">
        <f aca="false">COUNTIFS('Commercial People'!$A$2:$A$101,"Liliac Winery",'Commercial People'!$C$2:$C$101,"Marketing",'Commercial People'!$E$2:$E$101,B$2)</f>
        <v>0</v>
      </c>
      <c r="C24" s="70" t="n">
        <f aca="false">COUNTIFS('Commercial People'!$A$2:$A$101,"Liliac Winery",'Commercial People'!$C$2:$C$101,"Marketing",'Commercial People'!$E$2:$E$101,C$2)</f>
        <v>0</v>
      </c>
      <c r="D24" s="70" t="n">
        <f aca="false">COUNTIFS('Commercial People'!$A$2:$A$101,"Liliac Winery",'Commercial People'!$C$2:$C$101,"Marketing",'Commercial People'!$E$2:$E$101,D$2)</f>
        <v>0</v>
      </c>
      <c r="E24" s="70" t="n">
        <f aca="false">COUNTIFS('Commercial People'!$A$2:$A$101,"Liliac Winery",'Commercial People'!$C$2:$C$101,"Marketing",'Commercial People'!$E$2:$E$101,E$2)</f>
        <v>0</v>
      </c>
      <c r="F24" s="70" t="n">
        <f aca="false">COUNTIFS('Commercial People'!$A$2:$A$101,"Liliac Winery",'Commercial People'!$C$2:$C$101,"Marketing",'Commercial People'!$E$2:$E$101,F$2)</f>
        <v>0</v>
      </c>
      <c r="G24" s="70" t="n">
        <f aca="false">COUNTIFS('Commercial People'!$A$2:$A$101,"Liliac Winery",'Commercial People'!$C$2:$C$101,"Marketing",'Commercial People'!$E$2:$E$101,G$2)</f>
        <v>0</v>
      </c>
      <c r="H24" s="70" t="n">
        <f aca="false">COUNTIFS('Commercial People'!$A$2:$A$101,"Liliac Winery",'Commercial People'!$C$2:$C$101,"Marketing",'Commercial People'!$E$2:$E$101,H$2)</f>
        <v>0</v>
      </c>
      <c r="I24" s="71" t="n">
        <f aca="false">SUM(B24:H24)</f>
        <v>0</v>
      </c>
      <c r="J24" s="70" t="n">
        <f aca="false">COUNTIFS('Commercial People'!$A$2:$A$101,"Liliac Winery",'Commercial People'!$C$2:$C$101,"Sales",'Commercial People'!$E$2:$E$101,J$2)</f>
        <v>0</v>
      </c>
      <c r="K24" s="70" t="n">
        <f aca="false">COUNTIFS('Commercial People'!$A$2:$A$101,"Liliac Winery",'Commercial People'!$C$2:$C$101,"Sales",'Commercial People'!$E$2:$E$101,K$2)</f>
        <v>0</v>
      </c>
      <c r="L24" s="70" t="n">
        <f aca="false">COUNTIFS('Commercial People'!$A$2:$A$101,"Liliac Winery",'Commercial People'!$C$2:$C$101,"Sales",'Commercial People'!$E$2:$E$101,L$2)</f>
        <v>0</v>
      </c>
      <c r="M24" s="70" t="n">
        <f aca="false">COUNTIFS('Commercial People'!$A$2:$A$101,"Liliac Winery",'Commercial People'!$C$2:$C$101,"Sales",'Commercial People'!$E$2:$E$101,M$2)</f>
        <v>0</v>
      </c>
      <c r="N24" s="70" t="n">
        <f aca="false">COUNTIFS('Commercial People'!$A$2:$A$101,"Liliac Winery",'Commercial People'!$C$2:$C$101,"Sales",'Commercial People'!$E$2:$E$101,N$2)</f>
        <v>0</v>
      </c>
      <c r="O24" s="70" t="n">
        <f aca="false">COUNTIFS('Commercial People'!$A$2:$A$101,"Liliac Winery",'Commercial People'!$C$2:$C$101,"Sales",'Commercial People'!$E$2:$E$101,O$2)</f>
        <v>0</v>
      </c>
      <c r="P24" s="70" t="n">
        <f aca="false">COUNTIFS('Commercial People'!$A$2:$A$101,"Liliac Winery",'Commercial People'!$C$2:$C$101,"Sales",'Commercial People'!$E$2:$E$101,P$2)</f>
        <v>0</v>
      </c>
      <c r="Q24" s="70" t="n">
        <f aca="false">COUNTIFS('Commercial People'!$A$2:$A$101,"Liliac Winery",'Commercial People'!$C$2:$C$101,"Sales",'Commercial People'!$E$2:$E$101,Q$2)</f>
        <v>0</v>
      </c>
      <c r="R24" s="70" t="n">
        <f aca="false">COUNTIFS('Commercial People'!$A$2:$A$101,"Liliac Winery",'Commercial People'!$C$2:$C$101,"Sales",'Commercial People'!$E$2:$E$101,R$2)</f>
        <v>0</v>
      </c>
      <c r="S24" s="70" t="n">
        <f aca="false">COUNTIFS('Commercial People'!$A$2:$A$101,"Liliac Winery",'Commercial People'!$C$2:$C$101,"Sales",'Commercial People'!$E$2:$E$101,S$2)</f>
        <v>0</v>
      </c>
      <c r="T24" s="70" t="n">
        <f aca="false">COUNTIFS('Commercial People'!$A$2:$A$101,"Liliac Winery",'Commercial People'!$C$2:$C$101,"Sales",'Commercial People'!$E$2:$E$101,T$2)</f>
        <v>0</v>
      </c>
      <c r="U24" s="71" t="n">
        <f aca="false">SUM(J24:T24)</f>
        <v>0</v>
      </c>
      <c r="V24" s="71" t="n">
        <f aca="false">I24+U24</f>
        <v>0</v>
      </c>
    </row>
    <row r="25" customFormat="false" ht="22.5" hidden="false" customHeight="true" outlineLevel="0" collapsed="false">
      <c r="A25" s="53" t="s">
        <v>50</v>
      </c>
      <c r="B25" s="70" t="n">
        <f aca="false">COUNTIFS('Commercial People'!$A$2:$A$101,"Crama Oprișor",'Commercial People'!$C$2:$C$101,"Marketing",'Commercial People'!$E$2:$E$101,B$2)</f>
        <v>0</v>
      </c>
      <c r="C25" s="70" t="n">
        <f aca="false">COUNTIFS('Commercial People'!$A$2:$A$101,"Crama Oprișor",'Commercial People'!$C$2:$C$101,"Marketing",'Commercial People'!$E$2:$E$101,C$2)</f>
        <v>0</v>
      </c>
      <c r="D25" s="70" t="n">
        <f aca="false">COUNTIFS('Commercial People'!$A$2:$A$101,"Crama Oprișor",'Commercial People'!$C$2:$C$101,"Marketing",'Commercial People'!$E$2:$E$101,D$2)</f>
        <v>0</v>
      </c>
      <c r="E25" s="70" t="n">
        <f aca="false">COUNTIFS('Commercial People'!$A$2:$A$101,"Crama Oprișor",'Commercial People'!$C$2:$C$101,"Marketing",'Commercial People'!$E$2:$E$101,E$2)</f>
        <v>0</v>
      </c>
      <c r="F25" s="70" t="n">
        <f aca="false">COUNTIFS('Commercial People'!$A$2:$A$101,"Crama Oprișor",'Commercial People'!$C$2:$C$101,"Marketing",'Commercial People'!$E$2:$E$101,F$2)</f>
        <v>0</v>
      </c>
      <c r="G25" s="70" t="n">
        <f aca="false">COUNTIFS('Commercial People'!$A$2:$A$101,"Crama Oprișor",'Commercial People'!$C$2:$C$101,"Marketing",'Commercial People'!$E$2:$E$101,G$2)</f>
        <v>0</v>
      </c>
      <c r="H25" s="70" t="n">
        <f aca="false">COUNTIFS('Commercial People'!$A$2:$A$101,"Crama Oprișor",'Commercial People'!$C$2:$C$101,"Marketing",'Commercial People'!$E$2:$E$101,H$2)</f>
        <v>0</v>
      </c>
      <c r="I25" s="71" t="n">
        <f aca="false">SUM(B25:H25)</f>
        <v>0</v>
      </c>
      <c r="J25" s="70" t="n">
        <f aca="false">COUNTIFS('Commercial People'!$A$2:$A$101,"Crama Oprișor",'Commercial People'!$C$2:$C$101,"Sales",'Commercial People'!$E$2:$E$101,J$2)</f>
        <v>0</v>
      </c>
      <c r="K25" s="70" t="n">
        <f aca="false">COUNTIFS('Commercial People'!$A$2:$A$101,"Crama Oprișor",'Commercial People'!$C$2:$C$101,"Sales",'Commercial People'!$E$2:$E$101,K$2)</f>
        <v>1</v>
      </c>
      <c r="L25" s="70" t="n">
        <f aca="false">COUNTIFS('Commercial People'!$A$2:$A$101,"Crama Oprișor",'Commercial People'!$C$2:$C$101,"Sales",'Commercial People'!$E$2:$E$101,L$2)</f>
        <v>6</v>
      </c>
      <c r="M25" s="70" t="n">
        <f aca="false">COUNTIFS('Commercial People'!$A$2:$A$101,"Crama Oprișor",'Commercial People'!$C$2:$C$101,"Sales",'Commercial People'!$E$2:$E$101,M$2)</f>
        <v>0</v>
      </c>
      <c r="N25" s="70" t="n">
        <f aca="false">COUNTIFS('Commercial People'!$A$2:$A$101,"Crama Oprișor",'Commercial People'!$C$2:$C$101,"Sales",'Commercial People'!$E$2:$E$101,N$2)</f>
        <v>1</v>
      </c>
      <c r="O25" s="70" t="n">
        <f aca="false">COUNTIFS('Commercial People'!$A$2:$A$101,"Crama Oprișor",'Commercial People'!$C$2:$C$101,"Sales",'Commercial People'!$E$2:$E$101,O$2)</f>
        <v>0</v>
      </c>
      <c r="P25" s="70" t="n">
        <f aca="false">COUNTIFS('Commercial People'!$A$2:$A$101,"Crama Oprișor",'Commercial People'!$C$2:$C$101,"Sales",'Commercial People'!$E$2:$E$101,P$2)</f>
        <v>0</v>
      </c>
      <c r="Q25" s="70" t="n">
        <f aca="false">COUNTIFS('Commercial People'!$A$2:$A$101,"Crama Oprișor",'Commercial People'!$C$2:$C$101,"Sales",'Commercial People'!$E$2:$E$101,Q$2)</f>
        <v>0</v>
      </c>
      <c r="R25" s="70" t="n">
        <f aca="false">COUNTIFS('Commercial People'!$A$2:$A$101,"Crama Oprișor",'Commercial People'!$C$2:$C$101,"Sales",'Commercial People'!$E$2:$E$101,R$2)</f>
        <v>0</v>
      </c>
      <c r="S25" s="70" t="n">
        <f aca="false">COUNTIFS('Commercial People'!$A$2:$A$101,"Crama Oprișor",'Commercial People'!$C$2:$C$101,"Sales",'Commercial People'!$E$2:$E$101,S$2)</f>
        <v>0</v>
      </c>
      <c r="T25" s="70" t="n">
        <f aca="false">COUNTIFS('Commercial People'!$A$2:$A$101,"Crama Oprișor",'Commercial People'!$C$2:$C$101,"Sales",'Commercial People'!$E$2:$E$101,T$2)</f>
        <v>0</v>
      </c>
      <c r="U25" s="71" t="n">
        <f aca="false">SUM(J25:T25)</f>
        <v>8</v>
      </c>
      <c r="V25" s="71" t="n">
        <f aca="false">I25+U25</f>
        <v>8</v>
      </c>
    </row>
    <row r="26" customFormat="false" ht="22.5" hidden="false" customHeight="true" outlineLevel="0" collapsed="false">
      <c r="A26" s="53" t="s">
        <v>52</v>
      </c>
      <c r="B26" s="70" t="n">
        <f aca="false">COUNTIFS('Commercial People'!$A$2:$A$101,"Domeniile Săhăteni",'Commercial People'!$C$2:$C$101,"Marketing",'Commercial People'!$E$2:$E$101,B$2)</f>
        <v>0</v>
      </c>
      <c r="C26" s="70" t="n">
        <f aca="false">COUNTIFS('Commercial People'!$A$2:$A$101,"Domeniile Săhăteni",'Commercial People'!$C$2:$C$101,"Marketing",'Commercial People'!$E$2:$E$101,C$2)</f>
        <v>0</v>
      </c>
      <c r="D26" s="70" t="n">
        <f aca="false">COUNTIFS('Commercial People'!$A$2:$A$101,"Domeniile Săhăteni",'Commercial People'!$C$2:$C$101,"Marketing",'Commercial People'!$E$2:$E$101,D$2)</f>
        <v>0</v>
      </c>
      <c r="E26" s="70" t="n">
        <f aca="false">COUNTIFS('Commercial People'!$A$2:$A$101,"Domeniile Săhăteni",'Commercial People'!$C$2:$C$101,"Marketing",'Commercial People'!$E$2:$E$101,E$2)</f>
        <v>0</v>
      </c>
      <c r="F26" s="70" t="n">
        <f aca="false">COUNTIFS('Commercial People'!$A$2:$A$101,"Domeniile Săhăteni",'Commercial People'!$C$2:$C$101,"Marketing",'Commercial People'!$E$2:$E$101,F$2)</f>
        <v>0</v>
      </c>
      <c r="G26" s="70" t="n">
        <f aca="false">COUNTIFS('Commercial People'!$A$2:$A$101,"Domeniile Săhăteni",'Commercial People'!$C$2:$C$101,"Marketing",'Commercial People'!$E$2:$E$101,G$2)</f>
        <v>0</v>
      </c>
      <c r="H26" s="70" t="n">
        <f aca="false">COUNTIFS('Commercial People'!$A$2:$A$101,"Domeniile Săhăteni",'Commercial People'!$C$2:$C$101,"Marketing",'Commercial People'!$E$2:$E$101,H$2)</f>
        <v>0</v>
      </c>
      <c r="I26" s="71" t="n">
        <f aca="false">SUM(B26:H26)</f>
        <v>0</v>
      </c>
      <c r="J26" s="70" t="n">
        <f aca="false">COUNTIFS('Commercial People'!$A$2:$A$101,"Domeniile Săhăteni",'Commercial People'!$C$2:$C$101,"Sales",'Commercial People'!$E$2:$E$101,J$2)</f>
        <v>0</v>
      </c>
      <c r="K26" s="70" t="n">
        <f aca="false">COUNTIFS('Commercial People'!$A$2:$A$101,"Domeniile Săhăteni",'Commercial People'!$C$2:$C$101,"Sales",'Commercial People'!$E$2:$E$101,K$2)</f>
        <v>0</v>
      </c>
      <c r="L26" s="70" t="n">
        <f aca="false">COUNTIFS('Commercial People'!$A$2:$A$101,"Domeniile Săhăteni",'Commercial People'!$C$2:$C$101,"Sales",'Commercial People'!$E$2:$E$101,L$2)</f>
        <v>0</v>
      </c>
      <c r="M26" s="70" t="n">
        <f aca="false">COUNTIFS('Commercial People'!$A$2:$A$101,"Domeniile Săhăteni",'Commercial People'!$C$2:$C$101,"Sales",'Commercial People'!$E$2:$E$101,M$2)</f>
        <v>0</v>
      </c>
      <c r="N26" s="70" t="n">
        <f aca="false">COUNTIFS('Commercial People'!$A$2:$A$101,"Domeniile Săhăteni",'Commercial People'!$C$2:$C$101,"Sales",'Commercial People'!$E$2:$E$101,N$2)</f>
        <v>0</v>
      </c>
      <c r="O26" s="70" t="n">
        <f aca="false">COUNTIFS('Commercial People'!$A$2:$A$101,"Domeniile Săhăteni",'Commercial People'!$C$2:$C$101,"Sales",'Commercial People'!$E$2:$E$101,O$2)</f>
        <v>0</v>
      </c>
      <c r="P26" s="70" t="n">
        <f aca="false">COUNTIFS('Commercial People'!$A$2:$A$101,"Domeniile Săhăteni",'Commercial People'!$C$2:$C$101,"Sales",'Commercial People'!$E$2:$E$101,P$2)</f>
        <v>0</v>
      </c>
      <c r="Q26" s="70" t="n">
        <f aca="false">COUNTIFS('Commercial People'!$A$2:$A$101,"Domeniile Săhăteni",'Commercial People'!$C$2:$C$101,"Sales",'Commercial People'!$E$2:$E$101,Q$2)</f>
        <v>0</v>
      </c>
      <c r="R26" s="70" t="n">
        <f aca="false">COUNTIFS('Commercial People'!$A$2:$A$101,"Domeniile Săhăteni",'Commercial People'!$C$2:$C$101,"Sales",'Commercial People'!$E$2:$E$101,R$2)</f>
        <v>0</v>
      </c>
      <c r="S26" s="70" t="n">
        <f aca="false">COUNTIFS('Commercial People'!$A$2:$A$101,"Domeniile Săhăteni",'Commercial People'!$C$2:$C$101,"Sales",'Commercial People'!$E$2:$E$101,S$2)</f>
        <v>0</v>
      </c>
      <c r="T26" s="70" t="n">
        <f aca="false">COUNTIFS('Commercial People'!$A$2:$A$101,"Domeniile Săhăteni",'Commercial People'!$C$2:$C$101,"Sales",'Commercial People'!$E$2:$E$101,T$2)</f>
        <v>0</v>
      </c>
      <c r="U26" s="71" t="n">
        <f aca="false">SUM(J26:T26)</f>
        <v>0</v>
      </c>
      <c r="V26" s="71" t="n">
        <f aca="false">I26+U26</f>
        <v>0</v>
      </c>
    </row>
    <row r="27" customFormat="false" ht="22.5" hidden="false" customHeight="true" outlineLevel="0" collapsed="false">
      <c r="A27" s="53" t="s">
        <v>54</v>
      </c>
      <c r="B27" s="70" t="n">
        <f aca="false">COUNTIFS('Commercial People'!$A$2:$A$101,"Crama 1000 de Chipuri",'Commercial People'!$C$2:$C$101,"Marketing",'Commercial People'!$E$2:$E$101,B$2)</f>
        <v>0</v>
      </c>
      <c r="C27" s="70" t="n">
        <f aca="false">COUNTIFS('Commercial People'!$A$2:$A$101,"Crama 1000 de Chipuri",'Commercial People'!$C$2:$C$101,"Marketing",'Commercial People'!$E$2:$E$101,C$2)</f>
        <v>0</v>
      </c>
      <c r="D27" s="70" t="n">
        <f aca="false">COUNTIFS('Commercial People'!$A$2:$A$101,"Crama 1000 de Chipuri",'Commercial People'!$C$2:$C$101,"Marketing",'Commercial People'!$E$2:$E$101,D$2)</f>
        <v>0</v>
      </c>
      <c r="E27" s="70" t="n">
        <f aca="false">COUNTIFS('Commercial People'!$A$2:$A$101,"Crama 1000 de Chipuri",'Commercial People'!$C$2:$C$101,"Marketing",'Commercial People'!$E$2:$E$101,E$2)</f>
        <v>0</v>
      </c>
      <c r="F27" s="70" t="n">
        <f aca="false">COUNTIFS('Commercial People'!$A$2:$A$101,"Crama 1000 de Chipuri",'Commercial People'!$C$2:$C$101,"Marketing",'Commercial People'!$E$2:$E$101,F$2)</f>
        <v>0</v>
      </c>
      <c r="G27" s="70" t="n">
        <f aca="false">COUNTIFS('Commercial People'!$A$2:$A$101,"Crama 1000 de Chipuri",'Commercial People'!$C$2:$C$101,"Marketing",'Commercial People'!$E$2:$E$101,G$2)</f>
        <v>0</v>
      </c>
      <c r="H27" s="70" t="n">
        <f aca="false">COUNTIFS('Commercial People'!$A$2:$A$101,"Crama 1000 de Chipuri",'Commercial People'!$C$2:$C$101,"Marketing",'Commercial People'!$E$2:$E$101,H$2)</f>
        <v>0</v>
      </c>
      <c r="I27" s="71" t="n">
        <f aca="false">SUM(B27:H27)</f>
        <v>0</v>
      </c>
      <c r="J27" s="70" t="n">
        <f aca="false">COUNTIFS('Commercial People'!$A$2:$A$101,"Crama 1000 de Chipuri",'Commercial People'!$C$2:$C$101,"Sales",'Commercial People'!$E$2:$E$101,J$2)</f>
        <v>0</v>
      </c>
      <c r="K27" s="70" t="n">
        <f aca="false">COUNTIFS('Commercial People'!$A$2:$A$101,"Crama 1000 de Chipuri",'Commercial People'!$C$2:$C$101,"Sales",'Commercial People'!$E$2:$E$101,K$2)</f>
        <v>0</v>
      </c>
      <c r="L27" s="70" t="n">
        <f aca="false">COUNTIFS('Commercial People'!$A$2:$A$101,"Crama 1000 de Chipuri",'Commercial People'!$C$2:$C$101,"Sales",'Commercial People'!$E$2:$E$101,L$2)</f>
        <v>0</v>
      </c>
      <c r="M27" s="70" t="n">
        <f aca="false">COUNTIFS('Commercial People'!$A$2:$A$101,"Crama 1000 de Chipuri",'Commercial People'!$C$2:$C$101,"Sales",'Commercial People'!$E$2:$E$101,M$2)</f>
        <v>0</v>
      </c>
      <c r="N27" s="70" t="n">
        <f aca="false">COUNTIFS('Commercial People'!$A$2:$A$101,"Crama 1000 de Chipuri",'Commercial People'!$C$2:$C$101,"Sales",'Commercial People'!$E$2:$E$101,N$2)</f>
        <v>0</v>
      </c>
      <c r="O27" s="70" t="n">
        <f aca="false">COUNTIFS('Commercial People'!$A$2:$A$101,"Crama 1000 de Chipuri",'Commercial People'!$C$2:$C$101,"Sales",'Commercial People'!$E$2:$E$101,O$2)</f>
        <v>0</v>
      </c>
      <c r="P27" s="70" t="n">
        <f aca="false">COUNTIFS('Commercial People'!$A$2:$A$101,"Crama 1000 de Chipuri",'Commercial People'!$C$2:$C$101,"Sales",'Commercial People'!$E$2:$E$101,P$2)</f>
        <v>0</v>
      </c>
      <c r="Q27" s="70" t="n">
        <f aca="false">COUNTIFS('Commercial People'!$A$2:$A$101,"Crama 1000 de Chipuri",'Commercial People'!$C$2:$C$101,"Sales",'Commercial People'!$E$2:$E$101,Q$2)</f>
        <v>0</v>
      </c>
      <c r="R27" s="70" t="n">
        <f aca="false">COUNTIFS('Commercial People'!$A$2:$A$101,"Crama 1000 de Chipuri",'Commercial People'!$C$2:$C$101,"Sales",'Commercial People'!$E$2:$E$101,R$2)</f>
        <v>0</v>
      </c>
      <c r="S27" s="70" t="n">
        <f aca="false">COUNTIFS('Commercial People'!$A$2:$A$101,"Crama 1000 de Chipuri",'Commercial People'!$C$2:$C$101,"Sales",'Commercial People'!$E$2:$E$101,S$2)</f>
        <v>0</v>
      </c>
      <c r="T27" s="70" t="n">
        <f aca="false">COUNTIFS('Commercial People'!$A$2:$A$101,"Crama 1000 de Chipuri",'Commercial People'!$C$2:$C$101,"Sales",'Commercial People'!$E$2:$E$101,T$2)</f>
        <v>0</v>
      </c>
      <c r="U27" s="71" t="n">
        <f aca="false">SUM(J27:T27)</f>
        <v>0</v>
      </c>
      <c r="V27" s="71" t="n">
        <f aca="false">I27+U27</f>
        <v>0</v>
      </c>
    </row>
    <row r="28" customFormat="false" ht="22.5" hidden="false" customHeight="true" outlineLevel="0" collapsed="false">
      <c r="A28" s="53" t="s">
        <v>55</v>
      </c>
      <c r="B28" s="70" t="n">
        <f aca="false">COUNTIFS('Commercial People'!$A$2:$A$101,"Casa de Vinuri Negrini",'Commercial People'!$C$2:$C$101,"Marketing",'Commercial People'!$E$2:$E$101,B$2)</f>
        <v>0</v>
      </c>
      <c r="C28" s="70" t="n">
        <f aca="false">COUNTIFS('Commercial People'!$A$2:$A$101,"Casa de Vinuri Negrini",'Commercial People'!$C$2:$C$101,"Marketing",'Commercial People'!$E$2:$E$101,C$2)</f>
        <v>0</v>
      </c>
      <c r="D28" s="70" t="n">
        <f aca="false">COUNTIFS('Commercial People'!$A$2:$A$101,"Casa de Vinuri Negrini",'Commercial People'!$C$2:$C$101,"Marketing",'Commercial People'!$E$2:$E$101,D$2)</f>
        <v>0</v>
      </c>
      <c r="E28" s="70" t="n">
        <f aca="false">COUNTIFS('Commercial People'!$A$2:$A$101,"Casa de Vinuri Negrini",'Commercial People'!$C$2:$C$101,"Marketing",'Commercial People'!$E$2:$E$101,E$2)</f>
        <v>0</v>
      </c>
      <c r="F28" s="70" t="n">
        <f aca="false">COUNTIFS('Commercial People'!$A$2:$A$101,"Casa de Vinuri Negrini",'Commercial People'!$C$2:$C$101,"Marketing",'Commercial People'!$E$2:$E$101,F$2)</f>
        <v>0</v>
      </c>
      <c r="G28" s="70" t="n">
        <f aca="false">COUNTIFS('Commercial People'!$A$2:$A$101,"Casa de Vinuri Negrini",'Commercial People'!$C$2:$C$101,"Marketing",'Commercial People'!$E$2:$E$101,G$2)</f>
        <v>0</v>
      </c>
      <c r="H28" s="70" t="n">
        <f aca="false">COUNTIFS('Commercial People'!$A$2:$A$101,"Casa de Vinuri Negrini",'Commercial People'!$C$2:$C$101,"Marketing",'Commercial People'!$E$2:$E$101,H$2)</f>
        <v>0</v>
      </c>
      <c r="I28" s="71" t="n">
        <f aca="false">SUM(B28:H28)</f>
        <v>0</v>
      </c>
      <c r="J28" s="70" t="n">
        <f aca="false">COUNTIFS('Commercial People'!$A$2:$A$101,"Casa de Vinuri Negrini",'Commercial People'!$C$2:$C$101,"Sales",'Commercial People'!$E$2:$E$101,J$2)</f>
        <v>0</v>
      </c>
      <c r="K28" s="70" t="n">
        <f aca="false">COUNTIFS('Commercial People'!$A$2:$A$101,"Casa de Vinuri Negrini",'Commercial People'!$C$2:$C$101,"Sales",'Commercial People'!$E$2:$E$101,K$2)</f>
        <v>0</v>
      </c>
      <c r="L28" s="70" t="n">
        <f aca="false">COUNTIFS('Commercial People'!$A$2:$A$101,"Casa de Vinuri Negrini",'Commercial People'!$C$2:$C$101,"Sales",'Commercial People'!$E$2:$E$101,L$2)</f>
        <v>0</v>
      </c>
      <c r="M28" s="70" t="n">
        <f aca="false">COUNTIFS('Commercial People'!$A$2:$A$101,"Casa de Vinuri Negrini",'Commercial People'!$C$2:$C$101,"Sales",'Commercial People'!$E$2:$E$101,M$2)</f>
        <v>0</v>
      </c>
      <c r="N28" s="70" t="n">
        <f aca="false">COUNTIFS('Commercial People'!$A$2:$A$101,"Casa de Vinuri Negrini",'Commercial People'!$C$2:$C$101,"Sales",'Commercial People'!$E$2:$E$101,N$2)</f>
        <v>0</v>
      </c>
      <c r="O28" s="70" t="n">
        <f aca="false">COUNTIFS('Commercial People'!$A$2:$A$101,"Casa de Vinuri Negrini",'Commercial People'!$C$2:$C$101,"Sales",'Commercial People'!$E$2:$E$101,O$2)</f>
        <v>0</v>
      </c>
      <c r="P28" s="70" t="n">
        <f aca="false">COUNTIFS('Commercial People'!$A$2:$A$101,"Casa de Vinuri Negrini",'Commercial People'!$C$2:$C$101,"Sales",'Commercial People'!$E$2:$E$101,P$2)</f>
        <v>0</v>
      </c>
      <c r="Q28" s="70" t="n">
        <f aca="false">COUNTIFS('Commercial People'!$A$2:$A$101,"Casa de Vinuri Negrini",'Commercial People'!$C$2:$C$101,"Sales",'Commercial People'!$E$2:$E$101,Q$2)</f>
        <v>0</v>
      </c>
      <c r="R28" s="70" t="n">
        <f aca="false">COUNTIFS('Commercial People'!$A$2:$A$101,"Casa de Vinuri Negrini",'Commercial People'!$C$2:$C$101,"Sales",'Commercial People'!$E$2:$E$101,R$2)</f>
        <v>0</v>
      </c>
      <c r="S28" s="70" t="n">
        <f aca="false">COUNTIFS('Commercial People'!$A$2:$A$101,"Casa de Vinuri Negrini",'Commercial People'!$C$2:$C$101,"Sales",'Commercial People'!$E$2:$E$101,S$2)</f>
        <v>0</v>
      </c>
      <c r="T28" s="70" t="n">
        <f aca="false">COUNTIFS('Commercial People'!$A$2:$A$101,"Casa de Vinuri Negrini",'Commercial People'!$C$2:$C$101,"Sales",'Commercial People'!$E$2:$E$101,T$2)</f>
        <v>0</v>
      </c>
      <c r="U28" s="71" t="n">
        <f aca="false">SUM(J28:T28)</f>
        <v>0</v>
      </c>
      <c r="V28" s="71" t="n">
        <f aca="false">I28+U28</f>
        <v>0</v>
      </c>
    </row>
    <row r="29" customFormat="false" ht="22.5" hidden="false" customHeight="true" outlineLevel="0" collapsed="false">
      <c r="A29" s="53" t="s">
        <v>56</v>
      </c>
      <c r="B29" s="70" t="n">
        <f aca="false">COUNTIFS('Commercial People'!$A$2:$A$101,"Petro Vaselo",'Commercial People'!$C$2:$C$101,"Marketing",'Commercial People'!$E$2:$E$101,B$2)</f>
        <v>0</v>
      </c>
      <c r="C29" s="70" t="n">
        <f aca="false">COUNTIFS('Commercial People'!$A$2:$A$101,"Petro Vaselo",'Commercial People'!$C$2:$C$101,"Marketing",'Commercial People'!$E$2:$E$101,C$2)</f>
        <v>0</v>
      </c>
      <c r="D29" s="70" t="n">
        <f aca="false">COUNTIFS('Commercial People'!$A$2:$A$101,"Petro Vaselo",'Commercial People'!$C$2:$C$101,"Marketing",'Commercial People'!$E$2:$E$101,D$2)</f>
        <v>0</v>
      </c>
      <c r="E29" s="70" t="n">
        <f aca="false">COUNTIFS('Commercial People'!$A$2:$A$101,"Petro Vaselo",'Commercial People'!$C$2:$C$101,"Marketing",'Commercial People'!$E$2:$E$101,E$2)</f>
        <v>0</v>
      </c>
      <c r="F29" s="70" t="n">
        <f aca="false">COUNTIFS('Commercial People'!$A$2:$A$101,"Petro Vaselo",'Commercial People'!$C$2:$C$101,"Marketing",'Commercial People'!$E$2:$E$101,F$2)</f>
        <v>0</v>
      </c>
      <c r="G29" s="70" t="n">
        <f aca="false">COUNTIFS('Commercial People'!$A$2:$A$101,"Petro Vaselo",'Commercial People'!$C$2:$C$101,"Marketing",'Commercial People'!$E$2:$E$101,G$2)</f>
        <v>0</v>
      </c>
      <c r="H29" s="70" t="n">
        <f aca="false">COUNTIFS('Commercial People'!$A$2:$A$101,"Petro Vaselo",'Commercial People'!$C$2:$C$101,"Marketing",'Commercial People'!$E$2:$E$101,H$2)</f>
        <v>0</v>
      </c>
      <c r="I29" s="71" t="n">
        <f aca="false">SUM(B29:H29)</f>
        <v>0</v>
      </c>
      <c r="J29" s="70" t="n">
        <f aca="false">COUNTIFS('Commercial People'!$A$2:$A$101,"Petro Vaselo",'Commercial People'!$C$2:$C$101,"Sales",'Commercial People'!$E$2:$E$101,J$2)</f>
        <v>0</v>
      </c>
      <c r="K29" s="70" t="n">
        <f aca="false">COUNTIFS('Commercial People'!$A$2:$A$101,"Petro Vaselo",'Commercial People'!$C$2:$C$101,"Sales",'Commercial People'!$E$2:$E$101,K$2)</f>
        <v>0</v>
      </c>
      <c r="L29" s="70" t="n">
        <f aca="false">COUNTIFS('Commercial People'!$A$2:$A$101,"Petro Vaselo",'Commercial People'!$C$2:$C$101,"Sales",'Commercial People'!$E$2:$E$101,L$2)</f>
        <v>0</v>
      </c>
      <c r="M29" s="70" t="n">
        <f aca="false">COUNTIFS('Commercial People'!$A$2:$A$101,"Petro Vaselo",'Commercial People'!$C$2:$C$101,"Sales",'Commercial People'!$E$2:$E$101,M$2)</f>
        <v>0</v>
      </c>
      <c r="N29" s="70" t="n">
        <f aca="false">COUNTIFS('Commercial People'!$A$2:$A$101,"Petro Vaselo",'Commercial People'!$C$2:$C$101,"Sales",'Commercial People'!$E$2:$E$101,N$2)</f>
        <v>0</v>
      </c>
      <c r="O29" s="70" t="n">
        <f aca="false">COUNTIFS('Commercial People'!$A$2:$A$101,"Petro Vaselo",'Commercial People'!$C$2:$C$101,"Sales",'Commercial People'!$E$2:$E$101,O$2)</f>
        <v>0</v>
      </c>
      <c r="P29" s="70" t="n">
        <f aca="false">COUNTIFS('Commercial People'!$A$2:$A$101,"Petro Vaselo",'Commercial People'!$C$2:$C$101,"Sales",'Commercial People'!$E$2:$E$101,P$2)</f>
        <v>0</v>
      </c>
      <c r="Q29" s="70" t="n">
        <f aca="false">COUNTIFS('Commercial People'!$A$2:$A$101,"Petro Vaselo",'Commercial People'!$C$2:$C$101,"Sales",'Commercial People'!$E$2:$E$101,Q$2)</f>
        <v>0</v>
      </c>
      <c r="R29" s="70" t="n">
        <f aca="false">COUNTIFS('Commercial People'!$A$2:$A$101,"Petro Vaselo",'Commercial People'!$C$2:$C$101,"Sales",'Commercial People'!$E$2:$E$101,R$2)</f>
        <v>0</v>
      </c>
      <c r="S29" s="70" t="n">
        <f aca="false">COUNTIFS('Commercial People'!$A$2:$A$101,"Petro Vaselo",'Commercial People'!$C$2:$C$101,"Sales",'Commercial People'!$E$2:$E$101,S$2)</f>
        <v>0</v>
      </c>
      <c r="T29" s="70" t="n">
        <f aca="false">COUNTIFS('Commercial People'!$A$2:$A$101,"Petro Vaselo",'Commercial People'!$C$2:$C$101,"Sales",'Commercial People'!$E$2:$E$101,T$2)</f>
        <v>0</v>
      </c>
      <c r="U29" s="71" t="n">
        <f aca="false">SUM(J29:T29)</f>
        <v>0</v>
      </c>
      <c r="V29" s="71" t="n">
        <f aca="false">I29+U29</f>
        <v>0</v>
      </c>
    </row>
    <row r="30" customFormat="false" ht="22.5" hidden="false" customHeight="true" outlineLevel="0" collapsed="false">
      <c r="A30" s="53" t="s">
        <v>58</v>
      </c>
      <c r="B30" s="70" t="n">
        <f aca="false">COUNTIFS('Commercial People'!$A$2:$A$101,"Carastelec Winery",'Commercial People'!$C$2:$C$101,"Marketing",'Commercial People'!$E$2:$E$101,B$2)</f>
        <v>0</v>
      </c>
      <c r="C30" s="70" t="n">
        <f aca="false">COUNTIFS('Commercial People'!$A$2:$A$101,"Carastelec Winery",'Commercial People'!$C$2:$C$101,"Marketing",'Commercial People'!$E$2:$E$101,C$2)</f>
        <v>0</v>
      </c>
      <c r="D30" s="70" t="n">
        <f aca="false">COUNTIFS('Commercial People'!$A$2:$A$101,"Carastelec Winery",'Commercial People'!$C$2:$C$101,"Marketing",'Commercial People'!$E$2:$E$101,D$2)</f>
        <v>0</v>
      </c>
      <c r="E30" s="70" t="n">
        <f aca="false">COUNTIFS('Commercial People'!$A$2:$A$101,"Carastelec Winery",'Commercial People'!$C$2:$C$101,"Marketing",'Commercial People'!$E$2:$E$101,E$2)</f>
        <v>0</v>
      </c>
      <c r="F30" s="70" t="n">
        <f aca="false">COUNTIFS('Commercial People'!$A$2:$A$101,"Carastelec Winery",'Commercial People'!$C$2:$C$101,"Marketing",'Commercial People'!$E$2:$E$101,F$2)</f>
        <v>0</v>
      </c>
      <c r="G30" s="70" t="n">
        <f aca="false">COUNTIFS('Commercial People'!$A$2:$A$101,"Carastelec Winery",'Commercial People'!$C$2:$C$101,"Marketing",'Commercial People'!$E$2:$E$101,G$2)</f>
        <v>0</v>
      </c>
      <c r="H30" s="70" t="n">
        <f aca="false">COUNTIFS('Commercial People'!$A$2:$A$101,"Carastelec Winery",'Commercial People'!$C$2:$C$101,"Marketing",'Commercial People'!$E$2:$E$101,H$2)</f>
        <v>0</v>
      </c>
      <c r="I30" s="71" t="n">
        <f aca="false">SUM(B30:H30)</f>
        <v>0</v>
      </c>
      <c r="J30" s="70" t="n">
        <f aca="false">COUNTIFS('Commercial People'!$A$2:$A$101,"Carastelec Winery",'Commercial People'!$C$2:$C$101,"Sales",'Commercial People'!$E$2:$E$101,J$2)</f>
        <v>0</v>
      </c>
      <c r="K30" s="70" t="n">
        <f aca="false">COUNTIFS('Commercial People'!$A$2:$A$101,"Carastelec Winery",'Commercial People'!$C$2:$C$101,"Sales",'Commercial People'!$E$2:$E$101,K$2)</f>
        <v>0</v>
      </c>
      <c r="L30" s="70" t="n">
        <f aca="false">COUNTIFS('Commercial People'!$A$2:$A$101,"Carastelec Winery",'Commercial People'!$C$2:$C$101,"Sales",'Commercial People'!$E$2:$E$101,L$2)</f>
        <v>0</v>
      </c>
      <c r="M30" s="70" t="n">
        <f aca="false">COUNTIFS('Commercial People'!$A$2:$A$101,"Carastelec Winery",'Commercial People'!$C$2:$C$101,"Sales",'Commercial People'!$E$2:$E$101,M$2)</f>
        <v>0</v>
      </c>
      <c r="N30" s="70" t="n">
        <f aca="false">COUNTIFS('Commercial People'!$A$2:$A$101,"Carastelec Winery",'Commercial People'!$C$2:$C$101,"Sales",'Commercial People'!$E$2:$E$101,N$2)</f>
        <v>0</v>
      </c>
      <c r="O30" s="70" t="n">
        <f aca="false">COUNTIFS('Commercial People'!$A$2:$A$101,"Carastelec Winery",'Commercial People'!$C$2:$C$101,"Sales",'Commercial People'!$E$2:$E$101,O$2)</f>
        <v>0</v>
      </c>
      <c r="P30" s="70" t="n">
        <f aca="false">COUNTIFS('Commercial People'!$A$2:$A$101,"Carastelec Winery",'Commercial People'!$C$2:$C$101,"Sales",'Commercial People'!$E$2:$E$101,P$2)</f>
        <v>0</v>
      </c>
      <c r="Q30" s="70" t="n">
        <f aca="false">COUNTIFS('Commercial People'!$A$2:$A$101,"Carastelec Winery",'Commercial People'!$C$2:$C$101,"Sales",'Commercial People'!$E$2:$E$101,Q$2)</f>
        <v>0</v>
      </c>
      <c r="R30" s="70" t="n">
        <f aca="false">COUNTIFS('Commercial People'!$A$2:$A$101,"Carastelec Winery",'Commercial People'!$C$2:$C$101,"Sales",'Commercial People'!$E$2:$E$101,R$2)</f>
        <v>0</v>
      </c>
      <c r="S30" s="70" t="n">
        <f aca="false">COUNTIFS('Commercial People'!$A$2:$A$101,"Carastelec Winery",'Commercial People'!$C$2:$C$101,"Sales",'Commercial People'!$E$2:$E$101,S$2)</f>
        <v>0</v>
      </c>
      <c r="T30" s="70" t="n">
        <f aca="false">COUNTIFS('Commercial People'!$A$2:$A$101,"Carastelec Winery",'Commercial People'!$C$2:$C$101,"Sales",'Commercial People'!$E$2:$E$101,T$2)</f>
        <v>0</v>
      </c>
      <c r="U30" s="71" t="n">
        <f aca="false">SUM(J30:T30)</f>
        <v>0</v>
      </c>
      <c r="V30" s="71" t="n">
        <f aca="false">I30+U30</f>
        <v>0</v>
      </c>
    </row>
    <row r="31" customFormat="false" ht="22.5" hidden="false" customHeight="true" outlineLevel="0" collapsed="false">
      <c r="A31" s="53" t="s">
        <v>59</v>
      </c>
      <c r="B31" s="70" t="n">
        <f aca="false">COUNTIFS('Commercial People'!$A$2:$A$101,"Domeniile Davidescu",'Commercial People'!$C$2:$C$101,"Marketing",'Commercial People'!$E$2:$E$101,B$2)</f>
        <v>0</v>
      </c>
      <c r="C31" s="70" t="n">
        <f aca="false">COUNTIFS('Commercial People'!$A$2:$A$101,"Domeniile Davidescu",'Commercial People'!$C$2:$C$101,"Marketing",'Commercial People'!$E$2:$E$101,C$2)</f>
        <v>0</v>
      </c>
      <c r="D31" s="70" t="n">
        <f aca="false">COUNTIFS('Commercial People'!$A$2:$A$101,"Domeniile Davidescu",'Commercial People'!$C$2:$C$101,"Marketing",'Commercial People'!$E$2:$E$101,D$2)</f>
        <v>0</v>
      </c>
      <c r="E31" s="70" t="n">
        <f aca="false">COUNTIFS('Commercial People'!$A$2:$A$101,"Domeniile Davidescu",'Commercial People'!$C$2:$C$101,"Marketing",'Commercial People'!$E$2:$E$101,E$2)</f>
        <v>0</v>
      </c>
      <c r="F31" s="70" t="n">
        <f aca="false">COUNTIFS('Commercial People'!$A$2:$A$101,"Domeniile Davidescu",'Commercial People'!$C$2:$C$101,"Marketing",'Commercial People'!$E$2:$E$101,F$2)</f>
        <v>0</v>
      </c>
      <c r="G31" s="70" t="n">
        <f aca="false">COUNTIFS('Commercial People'!$A$2:$A$101,"Domeniile Davidescu",'Commercial People'!$C$2:$C$101,"Marketing",'Commercial People'!$E$2:$E$101,G$2)</f>
        <v>0</v>
      </c>
      <c r="H31" s="70" t="n">
        <f aca="false">COUNTIFS('Commercial People'!$A$2:$A$101,"Domeniile Davidescu",'Commercial People'!$C$2:$C$101,"Marketing",'Commercial People'!$E$2:$E$101,H$2)</f>
        <v>0</v>
      </c>
      <c r="I31" s="71" t="n">
        <f aca="false">SUM(B31:H31)</f>
        <v>0</v>
      </c>
      <c r="J31" s="70" t="n">
        <f aca="false">COUNTIFS('Commercial People'!$A$2:$A$101,"Domeniile Davidescu",'Commercial People'!$C$2:$C$101,"Sales",'Commercial People'!$E$2:$E$101,J$2)</f>
        <v>0</v>
      </c>
      <c r="K31" s="70" t="n">
        <f aca="false">COUNTIFS('Commercial People'!$A$2:$A$101,"Domeniile Davidescu",'Commercial People'!$C$2:$C$101,"Sales",'Commercial People'!$E$2:$E$101,K$2)</f>
        <v>0</v>
      </c>
      <c r="L31" s="70" t="n">
        <f aca="false">COUNTIFS('Commercial People'!$A$2:$A$101,"Domeniile Davidescu",'Commercial People'!$C$2:$C$101,"Sales",'Commercial People'!$E$2:$E$101,L$2)</f>
        <v>0</v>
      </c>
      <c r="M31" s="70" t="n">
        <f aca="false">COUNTIFS('Commercial People'!$A$2:$A$101,"Domeniile Davidescu",'Commercial People'!$C$2:$C$101,"Sales",'Commercial People'!$E$2:$E$101,M$2)</f>
        <v>0</v>
      </c>
      <c r="N31" s="70" t="n">
        <f aca="false">COUNTIFS('Commercial People'!$A$2:$A$101,"Domeniile Davidescu",'Commercial People'!$C$2:$C$101,"Sales",'Commercial People'!$E$2:$E$101,N$2)</f>
        <v>0</v>
      </c>
      <c r="O31" s="70" t="n">
        <f aca="false">COUNTIFS('Commercial People'!$A$2:$A$101,"Domeniile Davidescu",'Commercial People'!$C$2:$C$101,"Sales",'Commercial People'!$E$2:$E$101,O$2)</f>
        <v>0</v>
      </c>
      <c r="P31" s="70" t="n">
        <f aca="false">COUNTIFS('Commercial People'!$A$2:$A$101,"Domeniile Davidescu",'Commercial People'!$C$2:$C$101,"Sales",'Commercial People'!$E$2:$E$101,P$2)</f>
        <v>0</v>
      </c>
      <c r="Q31" s="70" t="n">
        <f aca="false">COUNTIFS('Commercial People'!$A$2:$A$101,"Domeniile Davidescu",'Commercial People'!$C$2:$C$101,"Sales",'Commercial People'!$E$2:$E$101,Q$2)</f>
        <v>0</v>
      </c>
      <c r="R31" s="70" t="n">
        <f aca="false">COUNTIFS('Commercial People'!$A$2:$A$101,"Domeniile Davidescu",'Commercial People'!$C$2:$C$101,"Sales",'Commercial People'!$E$2:$E$101,R$2)</f>
        <v>0</v>
      </c>
      <c r="S31" s="70" t="n">
        <f aca="false">COUNTIFS('Commercial People'!$A$2:$A$101,"Domeniile Davidescu",'Commercial People'!$C$2:$C$101,"Sales",'Commercial People'!$E$2:$E$101,S$2)</f>
        <v>0</v>
      </c>
      <c r="T31" s="70" t="n">
        <f aca="false">COUNTIFS('Commercial People'!$A$2:$A$101,"Domeniile Davidescu",'Commercial People'!$C$2:$C$101,"Sales",'Commercial People'!$E$2:$E$101,T$2)</f>
        <v>0</v>
      </c>
      <c r="U31" s="71" t="n">
        <f aca="false">SUM(J31:T31)</f>
        <v>0</v>
      </c>
      <c r="V31" s="71" t="n">
        <f aca="false">I31+U31</f>
        <v>0</v>
      </c>
    </row>
    <row r="32" customFormat="false" ht="22.5" hidden="false" customHeight="true" outlineLevel="0" collapsed="false">
      <c r="A32" s="53" t="s">
        <v>61</v>
      </c>
      <c r="B32" s="70" t="n">
        <f aca="false">COUNTIFS('Commercial People'!$A$2:$A$101,"SERVE Ceptura",'Commercial People'!$C$2:$C$101,"Marketing",'Commercial People'!$E$2:$E$101,B$2)</f>
        <v>0</v>
      </c>
      <c r="C32" s="70" t="n">
        <f aca="false">COUNTIFS('Commercial People'!$A$2:$A$101,"SERVE Ceptura",'Commercial People'!$C$2:$C$101,"Marketing",'Commercial People'!$E$2:$E$101,C$2)</f>
        <v>0</v>
      </c>
      <c r="D32" s="70" t="n">
        <f aca="false">COUNTIFS('Commercial People'!$A$2:$A$101,"SERVE Ceptura",'Commercial People'!$C$2:$C$101,"Marketing",'Commercial People'!$E$2:$E$101,D$2)</f>
        <v>0</v>
      </c>
      <c r="E32" s="70" t="n">
        <f aca="false">COUNTIFS('Commercial People'!$A$2:$A$101,"SERVE Ceptura",'Commercial People'!$C$2:$C$101,"Marketing",'Commercial People'!$E$2:$E$101,E$2)</f>
        <v>0</v>
      </c>
      <c r="F32" s="70" t="n">
        <f aca="false">COUNTIFS('Commercial People'!$A$2:$A$101,"SERVE Ceptura",'Commercial People'!$C$2:$C$101,"Marketing",'Commercial People'!$E$2:$E$101,F$2)</f>
        <v>0</v>
      </c>
      <c r="G32" s="70" t="n">
        <f aca="false">COUNTIFS('Commercial People'!$A$2:$A$101,"SERVE Ceptura",'Commercial People'!$C$2:$C$101,"Marketing",'Commercial People'!$E$2:$E$101,G$2)</f>
        <v>0</v>
      </c>
      <c r="H32" s="70" t="n">
        <f aca="false">COUNTIFS('Commercial People'!$A$2:$A$101,"SERVE Ceptura",'Commercial People'!$C$2:$C$101,"Marketing",'Commercial People'!$E$2:$E$101,H$2)</f>
        <v>0</v>
      </c>
      <c r="I32" s="71" t="n">
        <f aca="false">SUM(B32:H32)</f>
        <v>0</v>
      </c>
      <c r="J32" s="70" t="n">
        <f aca="false">COUNTIFS('Commercial People'!$A$2:$A$101,"SERVE Ceptura",'Commercial People'!$C$2:$C$101,"Sales",'Commercial People'!$E$2:$E$101,J$2)</f>
        <v>0</v>
      </c>
      <c r="K32" s="70" t="n">
        <f aca="false">COUNTIFS('Commercial People'!$A$2:$A$101,"SERVE Ceptura",'Commercial People'!$C$2:$C$101,"Sales",'Commercial People'!$E$2:$E$101,K$2)</f>
        <v>0</v>
      </c>
      <c r="L32" s="70" t="n">
        <f aca="false">COUNTIFS('Commercial People'!$A$2:$A$101,"SERVE Ceptura",'Commercial People'!$C$2:$C$101,"Sales",'Commercial People'!$E$2:$E$101,L$2)</f>
        <v>0</v>
      </c>
      <c r="M32" s="70" t="n">
        <f aca="false">COUNTIFS('Commercial People'!$A$2:$A$101,"SERVE Ceptura",'Commercial People'!$C$2:$C$101,"Sales",'Commercial People'!$E$2:$E$101,M$2)</f>
        <v>0</v>
      </c>
      <c r="N32" s="70" t="n">
        <f aca="false">COUNTIFS('Commercial People'!$A$2:$A$101,"SERVE Ceptura",'Commercial People'!$C$2:$C$101,"Sales",'Commercial People'!$E$2:$E$101,N$2)</f>
        <v>0</v>
      </c>
      <c r="O32" s="70" t="n">
        <f aca="false">COUNTIFS('Commercial People'!$A$2:$A$101,"SERVE Ceptura",'Commercial People'!$C$2:$C$101,"Sales",'Commercial People'!$E$2:$E$101,O$2)</f>
        <v>0</v>
      </c>
      <c r="P32" s="70" t="n">
        <f aca="false">COUNTIFS('Commercial People'!$A$2:$A$101,"SERVE Ceptura",'Commercial People'!$C$2:$C$101,"Sales",'Commercial People'!$E$2:$E$101,P$2)</f>
        <v>0</v>
      </c>
      <c r="Q32" s="70" t="n">
        <f aca="false">COUNTIFS('Commercial People'!$A$2:$A$101,"SERVE Ceptura",'Commercial People'!$C$2:$C$101,"Sales",'Commercial People'!$E$2:$E$101,Q$2)</f>
        <v>0</v>
      </c>
      <c r="R32" s="70" t="n">
        <f aca="false">COUNTIFS('Commercial People'!$A$2:$A$101,"SERVE Ceptura",'Commercial People'!$C$2:$C$101,"Sales",'Commercial People'!$E$2:$E$101,R$2)</f>
        <v>0</v>
      </c>
      <c r="S32" s="70" t="n">
        <f aca="false">COUNTIFS('Commercial People'!$A$2:$A$101,"SERVE Ceptura",'Commercial People'!$C$2:$C$101,"Sales",'Commercial People'!$E$2:$E$101,S$2)</f>
        <v>0</v>
      </c>
      <c r="T32" s="70" t="n">
        <f aca="false">COUNTIFS('Commercial People'!$A$2:$A$101,"SERVE Ceptura",'Commercial People'!$C$2:$C$101,"Sales",'Commercial People'!$E$2:$E$101,T$2)</f>
        <v>0</v>
      </c>
      <c r="U32" s="71" t="n">
        <f aca="false">SUM(J32:T32)</f>
        <v>0</v>
      </c>
      <c r="V32" s="71" t="n">
        <f aca="false">I32+U32</f>
        <v>0</v>
      </c>
    </row>
    <row r="33" customFormat="false" ht="22.5" hidden="false" customHeight="true" outlineLevel="0" collapsed="false">
      <c r="A33" s="53" t="s">
        <v>3263</v>
      </c>
      <c r="B33" s="70" t="n">
        <f aca="false">COUNTIFS('Commercial People'!$A$2:$A$101,"Avincis Vinuri",'Commercial People'!$C$2:$C$101,"Marketing",'Commercial People'!$E$2:$E$101,B$2)</f>
        <v>0</v>
      </c>
      <c r="C33" s="70" t="n">
        <f aca="false">COUNTIFS('Commercial People'!$A$2:$A$101,"Avincis Vinuri",'Commercial People'!$C$2:$C$101,"Marketing",'Commercial People'!$E$2:$E$101,C$2)</f>
        <v>0</v>
      </c>
      <c r="D33" s="70" t="n">
        <f aca="false">COUNTIFS('Commercial People'!$A$2:$A$101,"Avincis Vinuri",'Commercial People'!$C$2:$C$101,"Marketing",'Commercial People'!$E$2:$E$101,D$2)</f>
        <v>0</v>
      </c>
      <c r="E33" s="70" t="n">
        <f aca="false">COUNTIFS('Commercial People'!$A$2:$A$101,"Avincis Vinuri",'Commercial People'!$C$2:$C$101,"Marketing",'Commercial People'!$E$2:$E$101,E$2)</f>
        <v>0</v>
      </c>
      <c r="F33" s="70" t="n">
        <f aca="false">COUNTIFS('Commercial People'!$A$2:$A$101,"Avincis Vinuri",'Commercial People'!$C$2:$C$101,"Marketing",'Commercial People'!$E$2:$E$101,F$2)</f>
        <v>1</v>
      </c>
      <c r="G33" s="70" t="n">
        <f aca="false">COUNTIFS('Commercial People'!$A$2:$A$101,"Avincis Vinuri",'Commercial People'!$C$2:$C$101,"Marketing",'Commercial People'!$E$2:$E$101,G$2)</f>
        <v>0</v>
      </c>
      <c r="H33" s="70" t="n">
        <f aca="false">COUNTIFS('Commercial People'!$A$2:$A$101,"Avincis Vinuri",'Commercial People'!$C$2:$C$101,"Marketing",'Commercial People'!$E$2:$E$101,H$2)</f>
        <v>0</v>
      </c>
      <c r="I33" s="71" t="n">
        <f aca="false">SUM(B33:H33)</f>
        <v>1</v>
      </c>
      <c r="J33" s="70" t="n">
        <f aca="false">COUNTIFS('Commercial People'!$A$2:$A$101,"Avincis Vinuri",'Commercial People'!$C$2:$C$101,"Sales",'Commercial People'!$E$2:$E$101,J$2)</f>
        <v>0</v>
      </c>
      <c r="K33" s="70" t="n">
        <f aca="false">COUNTIFS('Commercial People'!$A$2:$A$101,"Avincis Vinuri",'Commercial People'!$C$2:$C$101,"Sales",'Commercial People'!$E$2:$E$101,K$2)</f>
        <v>0</v>
      </c>
      <c r="L33" s="70" t="n">
        <f aca="false">COUNTIFS('Commercial People'!$A$2:$A$101,"Avincis Vinuri",'Commercial People'!$C$2:$C$101,"Sales",'Commercial People'!$E$2:$E$101,L$2)</f>
        <v>0</v>
      </c>
      <c r="M33" s="70" t="n">
        <f aca="false">COUNTIFS('Commercial People'!$A$2:$A$101,"Avincis Vinuri",'Commercial People'!$C$2:$C$101,"Sales",'Commercial People'!$E$2:$E$101,M$2)</f>
        <v>0</v>
      </c>
      <c r="N33" s="70" t="n">
        <f aca="false">COUNTIFS('Commercial People'!$A$2:$A$101,"Avincis Vinuri",'Commercial People'!$C$2:$C$101,"Sales",'Commercial People'!$E$2:$E$101,N$2)</f>
        <v>0</v>
      </c>
      <c r="O33" s="70" t="n">
        <f aca="false">COUNTIFS('Commercial People'!$A$2:$A$101,"Avincis Vinuri",'Commercial People'!$C$2:$C$101,"Sales",'Commercial People'!$E$2:$E$101,O$2)</f>
        <v>0</v>
      </c>
      <c r="P33" s="70" t="n">
        <f aca="false">COUNTIFS('Commercial People'!$A$2:$A$101,"Avincis Vinuri",'Commercial People'!$C$2:$C$101,"Sales",'Commercial People'!$E$2:$E$101,P$2)</f>
        <v>0</v>
      </c>
      <c r="Q33" s="70" t="n">
        <f aca="false">COUNTIFS('Commercial People'!$A$2:$A$101,"Avincis Vinuri",'Commercial People'!$C$2:$C$101,"Sales",'Commercial People'!$E$2:$E$101,Q$2)</f>
        <v>0</v>
      </c>
      <c r="R33" s="70" t="n">
        <f aca="false">COUNTIFS('Commercial People'!$A$2:$A$101,"Avincis Vinuri",'Commercial People'!$C$2:$C$101,"Sales",'Commercial People'!$E$2:$E$101,R$2)</f>
        <v>0</v>
      </c>
      <c r="S33" s="70" t="n">
        <f aca="false">COUNTIFS('Commercial People'!$A$2:$A$101,"Avincis Vinuri",'Commercial People'!$C$2:$C$101,"Sales",'Commercial People'!$E$2:$E$101,S$2)</f>
        <v>0</v>
      </c>
      <c r="T33" s="70" t="n">
        <f aca="false">COUNTIFS('Commercial People'!$A$2:$A$101,"Avincis Vinuri",'Commercial People'!$C$2:$C$101,"Sales",'Commercial People'!$E$2:$E$101,T$2)</f>
        <v>0</v>
      </c>
      <c r="U33" s="71" t="n">
        <f aca="false">SUM(J33:T33)</f>
        <v>0</v>
      </c>
      <c r="V33" s="71" t="n">
        <f aca="false">I33+U33</f>
        <v>1</v>
      </c>
    </row>
    <row r="34" customFormat="false" ht="22.5" hidden="false" customHeight="true" outlineLevel="0" collapsed="false">
      <c r="A34" s="53" t="s">
        <v>3193</v>
      </c>
      <c r="B34" s="70" t="n">
        <f aca="false">COUNTIFS('Commercial People'!$A$2:$A$101,"Domeniile Panciu",'Commercial People'!$C$2:$C$101,"Marketing",'Commercial People'!$E$2:$E$101,B$2)</f>
        <v>0</v>
      </c>
      <c r="C34" s="70" t="n">
        <f aca="false">COUNTIFS('Commercial People'!$A$2:$A$101,"Domeniile Panciu",'Commercial People'!$C$2:$C$101,"Marketing",'Commercial People'!$E$2:$E$101,C$2)</f>
        <v>0</v>
      </c>
      <c r="D34" s="70" t="n">
        <f aca="false">COUNTIFS('Commercial People'!$A$2:$A$101,"Domeniile Panciu",'Commercial People'!$C$2:$C$101,"Marketing",'Commercial People'!$E$2:$E$101,D$2)</f>
        <v>0</v>
      </c>
      <c r="E34" s="70" t="n">
        <f aca="false">COUNTIFS('Commercial People'!$A$2:$A$101,"Domeniile Panciu",'Commercial People'!$C$2:$C$101,"Marketing",'Commercial People'!$E$2:$E$101,E$2)</f>
        <v>0</v>
      </c>
      <c r="F34" s="70" t="n">
        <f aca="false">COUNTIFS('Commercial People'!$A$2:$A$101,"Domeniile Panciu",'Commercial People'!$C$2:$C$101,"Marketing",'Commercial People'!$E$2:$E$101,F$2)</f>
        <v>0</v>
      </c>
      <c r="G34" s="70" t="n">
        <f aca="false">COUNTIFS('Commercial People'!$A$2:$A$101,"Domeniile Panciu",'Commercial People'!$C$2:$C$101,"Marketing",'Commercial People'!$E$2:$E$101,G$2)</f>
        <v>0</v>
      </c>
      <c r="H34" s="70" t="n">
        <f aca="false">COUNTIFS('Commercial People'!$A$2:$A$101,"Domeniile Panciu",'Commercial People'!$C$2:$C$101,"Marketing",'Commercial People'!$E$2:$E$101,H$2)</f>
        <v>0</v>
      </c>
      <c r="I34" s="71" t="n">
        <f aca="false">SUM(B34:H34)</f>
        <v>0</v>
      </c>
      <c r="J34" s="70" t="n">
        <f aca="false">COUNTIFS('Commercial People'!$A$2:$A$101,"Domeniile Panciu",'Commercial People'!$C$2:$C$101,"Sales",'Commercial People'!$E$2:$E$101,J$2)</f>
        <v>1</v>
      </c>
      <c r="K34" s="70" t="n">
        <f aca="false">COUNTIFS('Commercial People'!$A$2:$A$101,"Domeniile Panciu",'Commercial People'!$C$2:$C$101,"Sales",'Commercial People'!$E$2:$E$101,K$2)</f>
        <v>0</v>
      </c>
      <c r="L34" s="70" t="n">
        <f aca="false">COUNTIFS('Commercial People'!$A$2:$A$101,"Domeniile Panciu",'Commercial People'!$C$2:$C$101,"Sales",'Commercial People'!$E$2:$E$101,L$2)</f>
        <v>0</v>
      </c>
      <c r="M34" s="70" t="n">
        <f aca="false">COUNTIFS('Commercial People'!$A$2:$A$101,"Domeniile Panciu",'Commercial People'!$C$2:$C$101,"Sales",'Commercial People'!$E$2:$E$101,M$2)</f>
        <v>0</v>
      </c>
      <c r="N34" s="70" t="n">
        <f aca="false">COUNTIFS('Commercial People'!$A$2:$A$101,"Domeniile Panciu",'Commercial People'!$C$2:$C$101,"Sales",'Commercial People'!$E$2:$E$101,N$2)</f>
        <v>0</v>
      </c>
      <c r="O34" s="70" t="n">
        <f aca="false">COUNTIFS('Commercial People'!$A$2:$A$101,"Domeniile Panciu",'Commercial People'!$C$2:$C$101,"Sales",'Commercial People'!$E$2:$E$101,O$2)</f>
        <v>0</v>
      </c>
      <c r="P34" s="70" t="n">
        <f aca="false">COUNTIFS('Commercial People'!$A$2:$A$101,"Domeniile Panciu",'Commercial People'!$C$2:$C$101,"Sales",'Commercial People'!$E$2:$E$101,P$2)</f>
        <v>0</v>
      </c>
      <c r="Q34" s="70" t="n">
        <f aca="false">COUNTIFS('Commercial People'!$A$2:$A$101,"Domeniile Panciu",'Commercial People'!$C$2:$C$101,"Sales",'Commercial People'!$E$2:$E$101,Q$2)</f>
        <v>0</v>
      </c>
      <c r="R34" s="70" t="n">
        <f aca="false">COUNTIFS('Commercial People'!$A$2:$A$101,"Domeniile Panciu",'Commercial People'!$C$2:$C$101,"Sales",'Commercial People'!$E$2:$E$101,R$2)</f>
        <v>0</v>
      </c>
      <c r="S34" s="70" t="n">
        <f aca="false">COUNTIFS('Commercial People'!$A$2:$A$101,"Domeniile Panciu",'Commercial People'!$C$2:$C$101,"Sales",'Commercial People'!$E$2:$E$101,S$2)</f>
        <v>0</v>
      </c>
      <c r="T34" s="70" t="n">
        <f aca="false">COUNTIFS('Commercial People'!$A$2:$A$101,"Domeniile Panciu",'Commercial People'!$C$2:$C$101,"Sales",'Commercial People'!$E$2:$E$101,T$2)</f>
        <v>0</v>
      </c>
      <c r="U34" s="71" t="n">
        <f aca="false">SUM(J34:T34)</f>
        <v>1</v>
      </c>
      <c r="V34" s="71" t="n">
        <f aca="false">I34+U34</f>
        <v>1</v>
      </c>
    </row>
    <row r="35" customFormat="false" ht="22.5" hidden="false" customHeight="true" outlineLevel="0" collapsed="false">
      <c r="A35" s="72" t="s">
        <v>3289</v>
      </c>
      <c r="B35" s="73" t="n">
        <f aca="false">COUNTIFS('Commercial People'!$A$2:$A$101,"Fautor",'Commercial People'!$C$2:$C$101,"Marketing",'Commercial People'!$E$2:$E$101,B$2)</f>
        <v>0</v>
      </c>
      <c r="C35" s="73" t="n">
        <f aca="false">COUNTIFS('Commercial People'!$A$2:$A$101,"Fautor",'Commercial People'!$C$2:$C$101,"Marketing",'Commercial People'!$E$2:$E$101,C$2)</f>
        <v>0</v>
      </c>
      <c r="D35" s="73" t="n">
        <f aca="false">COUNTIFS('Commercial People'!$A$2:$A$101,"Fautor",'Commercial People'!$C$2:$C$101,"Marketing",'Commercial People'!$E$2:$E$101,D$2)</f>
        <v>0</v>
      </c>
      <c r="E35" s="73" t="n">
        <f aca="false">COUNTIFS('Commercial People'!$A$2:$A$101,"Fautor",'Commercial People'!$C$2:$C$101,"Marketing",'Commercial People'!$E$2:$E$101,E$2)</f>
        <v>0</v>
      </c>
      <c r="F35" s="73" t="n">
        <f aca="false">COUNTIFS('Commercial People'!$A$2:$A$101,"Fautor",'Commercial People'!$C$2:$C$101,"Marketing",'Commercial People'!$E$2:$E$101,F$2)</f>
        <v>0</v>
      </c>
      <c r="G35" s="73" t="n">
        <f aca="false">COUNTIFS('Commercial People'!$A$2:$A$101,"Fautor",'Commercial People'!$C$2:$C$101,"Marketing",'Commercial People'!$E$2:$E$101,G$2)</f>
        <v>0</v>
      </c>
      <c r="H35" s="73" t="n">
        <f aca="false">COUNTIFS('Commercial People'!$A$2:$A$101,"Fautor",'Commercial People'!$C$2:$C$101,"Marketing",'Commercial People'!$E$2:$E$101,H$2)</f>
        <v>0</v>
      </c>
      <c r="I35" s="74" t="n">
        <f aca="false">SUM(B35:H35)</f>
        <v>0</v>
      </c>
      <c r="J35" s="73" t="n">
        <f aca="false">COUNTIFS('Commercial People'!$A$2:$A$101,"Fautor",'Commercial People'!$C$2:$C$101,"Sales",'Commercial People'!$E$2:$E$101,J$2)</f>
        <v>1</v>
      </c>
      <c r="K35" s="73" t="n">
        <f aca="false">COUNTIFS('Commercial People'!$A$2:$A$101,"Fautor",'Commercial People'!$C$2:$C$101,"Sales",'Commercial People'!$E$2:$E$101,K$2)</f>
        <v>0</v>
      </c>
      <c r="L35" s="73" t="n">
        <f aca="false">COUNTIFS('Commercial People'!$A$2:$A$101,"Fautor",'Commercial People'!$C$2:$C$101,"Sales",'Commercial People'!$E$2:$E$101,L$2)</f>
        <v>0</v>
      </c>
      <c r="M35" s="73" t="n">
        <f aca="false">COUNTIFS('Commercial People'!$A$2:$A$101,"Fautor",'Commercial People'!$C$2:$C$101,"Sales",'Commercial People'!$E$2:$E$101,M$2)</f>
        <v>0</v>
      </c>
      <c r="N35" s="73" t="n">
        <f aca="false">COUNTIFS('Commercial People'!$A$2:$A$101,"Fautor",'Commercial People'!$C$2:$C$101,"Sales",'Commercial People'!$E$2:$E$101,N$2)</f>
        <v>0</v>
      </c>
      <c r="O35" s="73" t="n">
        <f aca="false">COUNTIFS('Commercial People'!$A$2:$A$101,"Fautor",'Commercial People'!$C$2:$C$101,"Sales",'Commercial People'!$E$2:$E$101,O$2)</f>
        <v>0</v>
      </c>
      <c r="P35" s="73" t="n">
        <f aca="false">COUNTIFS('Commercial People'!$A$2:$A$101,"Fautor",'Commercial People'!$C$2:$C$101,"Sales",'Commercial People'!$E$2:$E$101,P$2)</f>
        <v>0</v>
      </c>
      <c r="Q35" s="73" t="n">
        <f aca="false">COUNTIFS('Commercial People'!$A$2:$A$101,"Fautor",'Commercial People'!$C$2:$C$101,"Sales",'Commercial People'!$E$2:$E$101,Q$2)</f>
        <v>0</v>
      </c>
      <c r="R35" s="73" t="n">
        <f aca="false">COUNTIFS('Commercial People'!$A$2:$A$101,"Fautor",'Commercial People'!$C$2:$C$101,"Sales",'Commercial People'!$E$2:$E$101,R$2)</f>
        <v>0</v>
      </c>
      <c r="S35" s="73" t="n">
        <f aca="false">COUNTIFS('Commercial People'!$A$2:$A$101,"Fautor",'Commercial People'!$C$2:$C$101,"Sales",'Commercial People'!$E$2:$E$101,S$2)</f>
        <v>0</v>
      </c>
      <c r="T35" s="73" t="n">
        <f aca="false">COUNTIFS('Commercial People'!$A$2:$A$101,"Fautor",'Commercial People'!$C$2:$C$101,"Sales",'Commercial People'!$E$2:$E$101,T$2)</f>
        <v>0</v>
      </c>
      <c r="U35" s="74" t="n">
        <f aca="false">SUM(J35:T35)</f>
        <v>1</v>
      </c>
      <c r="V35" s="74" t="n">
        <f aca="false">I35+U35</f>
        <v>1</v>
      </c>
    </row>
    <row r="36" customFormat="false" ht="22.5" hidden="false" customHeight="true" outlineLevel="0" collapsed="false">
      <c r="A36" s="75" t="s">
        <v>3629</v>
      </c>
      <c r="B36" s="76" t="n">
        <f aca="false">SUM(B3:B35)</f>
        <v>13</v>
      </c>
      <c r="C36" s="76" t="n">
        <f aca="false">SUM(C3:C35)</f>
        <v>9</v>
      </c>
      <c r="D36" s="76" t="n">
        <f aca="false">SUM(D3:D35)</f>
        <v>6</v>
      </c>
      <c r="E36" s="76" t="n">
        <f aca="false">SUM(E3:E35)</f>
        <v>2</v>
      </c>
      <c r="F36" s="76" t="n">
        <f aca="false">SUM(F3:F35)</f>
        <v>2</v>
      </c>
      <c r="G36" s="76" t="n">
        <f aca="false">SUM(G3:G35)</f>
        <v>2</v>
      </c>
      <c r="H36" s="76" t="n">
        <f aca="false">SUM(H3:H35)</f>
        <v>2</v>
      </c>
      <c r="I36" s="77" t="n">
        <f aca="false">SUM(I3:I35)</f>
        <v>36</v>
      </c>
      <c r="J36" s="76" t="n">
        <f aca="false">SUM(J3:J35)</f>
        <v>10</v>
      </c>
      <c r="K36" s="76" t="n">
        <f aca="false">SUM(K3:K35)</f>
        <v>7</v>
      </c>
      <c r="L36" s="76" t="n">
        <f aca="false">SUM(L3:L35)</f>
        <v>25</v>
      </c>
      <c r="M36" s="76" t="n">
        <f aca="false">SUM(M3:M35)</f>
        <v>7</v>
      </c>
      <c r="N36" s="76" t="n">
        <f aca="false">SUM(N3:N35)</f>
        <v>4</v>
      </c>
      <c r="O36" s="76" t="n">
        <f aca="false">SUM(O3:O35)</f>
        <v>5</v>
      </c>
      <c r="P36" s="76" t="n">
        <f aca="false">SUM(P3:P35)</f>
        <v>1</v>
      </c>
      <c r="Q36" s="76" t="n">
        <f aca="false">SUM(Q3:Q35)</f>
        <v>2</v>
      </c>
      <c r="R36" s="76" t="n">
        <f aca="false">SUM(R3:R35)</f>
        <v>1</v>
      </c>
      <c r="S36" s="76" t="n">
        <f aca="false">SUM(S3:S35)</f>
        <v>1</v>
      </c>
      <c r="T36" s="76" t="n">
        <f aca="false">SUM(T3:T35)</f>
        <v>4</v>
      </c>
      <c r="U36" s="77" t="n">
        <f aca="false">SUM(U3:U35)</f>
        <v>67</v>
      </c>
      <c r="V36" s="77" t="n">
        <f aca="false">SUM(V3:V35)</f>
        <v>103</v>
      </c>
    </row>
    <row r="38" customFormat="false" ht="30" hidden="false" customHeight="true" outlineLevel="0" collapsed="false">
      <c r="A38" s="78" t="s">
        <v>3630</v>
      </c>
      <c r="B38" s="78"/>
      <c r="C38" s="78"/>
      <c r="D38" s="78"/>
      <c r="E38" s="78"/>
      <c r="F38" s="78"/>
      <c r="G38" s="78"/>
      <c r="H38" s="78"/>
      <c r="I38" s="78"/>
      <c r="J38" s="78"/>
      <c r="K38" s="78"/>
      <c r="L38" s="78"/>
      <c r="M38" s="78"/>
      <c r="N38" s="78"/>
      <c r="O38" s="78"/>
      <c r="P38" s="78"/>
      <c r="Q38" s="78"/>
      <c r="R38" s="78"/>
      <c r="S38" s="78"/>
      <c r="T38" s="78"/>
      <c r="U38" s="78"/>
      <c r="V38" s="78"/>
    </row>
  </sheetData>
  <mergeCells count="5">
    <mergeCell ref="A1:A2"/>
    <mergeCell ref="B1:I1"/>
    <mergeCell ref="J1:U1"/>
    <mergeCell ref="V1:V2"/>
    <mergeCell ref="A38:V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3.5"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3" min="3" style="1" width="26"/>
    <col collapsed="false" customWidth="true" hidden="false" outlineLevel="0" max="4" min="4" style="1" width="11"/>
    <col collapsed="false" customWidth="true" hidden="false" outlineLevel="0" max="6" min="5" style="1" width="36"/>
    <col collapsed="false" customWidth="true" hidden="false" outlineLevel="0" max="7" min="7" style="1" width="45"/>
    <col collapsed="false" customWidth="true" hidden="false" outlineLevel="0" max="8" min="8" style="1" width="43"/>
    <col collapsed="false" customWidth="true" hidden="false" outlineLevel="0" max="9" min="9" style="1" width="36"/>
  </cols>
  <sheetData>
    <row r="1" customFormat="false" ht="30" hidden="false" customHeight="true" outlineLevel="0" collapsed="false">
      <c r="A1" s="40" t="s">
        <v>0</v>
      </c>
      <c r="B1" s="40" t="s">
        <v>3631</v>
      </c>
      <c r="C1" s="40" t="s">
        <v>3632</v>
      </c>
      <c r="D1" s="40" t="s">
        <v>3633</v>
      </c>
      <c r="E1" s="40" t="s">
        <v>3634</v>
      </c>
      <c r="F1" s="40" t="s">
        <v>3635</v>
      </c>
      <c r="G1" s="40" t="s">
        <v>3636</v>
      </c>
      <c r="H1" s="40" t="s">
        <v>3637</v>
      </c>
      <c r="I1" s="40" t="s">
        <v>3638</v>
      </c>
    </row>
    <row r="2" customFormat="false" ht="48" hidden="false" customHeight="true" outlineLevel="0" collapsed="false">
      <c r="A2" s="41" t="s">
        <v>13</v>
      </c>
      <c r="B2" s="6" t="n">
        <v>116</v>
      </c>
      <c r="C2" s="5" t="s">
        <v>3639</v>
      </c>
      <c r="D2" s="79" t="n">
        <f aca="false">COUNTIFS('Open Positions'!$A$2:$A$62,A2,'Open Positions'!$C$2:$C$62,"Vacancy")+COUNTIFS('Open Positions'!$A$2:$A$62,A2,'Open Positions'!$C$2:$C$62,"Paid internship / early career")</f>
        <v>3</v>
      </c>
      <c r="E2" s="5" t="s">
        <v>3640</v>
      </c>
      <c r="F2" s="5" t="s">
        <v>3641</v>
      </c>
      <c r="G2" s="5" t="s">
        <v>3642</v>
      </c>
      <c r="H2" s="42" t="s">
        <v>122</v>
      </c>
      <c r="I2" s="5" t="s">
        <v>3643</v>
      </c>
    </row>
    <row r="3" customFormat="false" ht="48" hidden="false" customHeight="true" outlineLevel="0" collapsed="false">
      <c r="A3" s="43" t="s">
        <v>17</v>
      </c>
      <c r="B3" s="10" t="n">
        <v>115</v>
      </c>
      <c r="C3" s="9" t="s">
        <v>3639</v>
      </c>
      <c r="D3" s="80" t="n">
        <f aca="false">COUNTIFS('Open Positions'!$A$2:$A$62,A3,'Open Positions'!$C$2:$C$62,"Vacancy")+COUNTIFS('Open Positions'!$A$2:$A$62,A3,'Open Positions'!$C$2:$C$62,"Paid internship / early career")</f>
        <v>0</v>
      </c>
      <c r="E3" s="9" t="s">
        <v>3644</v>
      </c>
      <c r="F3" s="9" t="s">
        <v>3645</v>
      </c>
      <c r="G3" s="9" t="s">
        <v>3646</v>
      </c>
      <c r="H3" s="44" t="s">
        <v>3647</v>
      </c>
      <c r="I3" s="9" t="s">
        <v>3648</v>
      </c>
    </row>
    <row r="4" customFormat="false" ht="48" hidden="false" customHeight="true" outlineLevel="0" collapsed="false">
      <c r="A4" s="43" t="s">
        <v>7</v>
      </c>
      <c r="B4" s="10" t="n">
        <v>103</v>
      </c>
      <c r="C4" s="9" t="s">
        <v>3639</v>
      </c>
      <c r="D4" s="80" t="n">
        <f aca="false">COUNTIFS('Open Positions'!$A$2:$A$62,A4,'Open Positions'!$C$2:$C$62,"Vacancy")+COUNTIFS('Open Positions'!$A$2:$A$62,A4,'Open Positions'!$C$2:$C$62,"Paid internship / early career")</f>
        <v>8</v>
      </c>
      <c r="E4" s="9" t="s">
        <v>3649</v>
      </c>
      <c r="F4" s="9" t="s">
        <v>3650</v>
      </c>
      <c r="G4" s="9" t="s">
        <v>3651</v>
      </c>
      <c r="H4" s="44" t="s">
        <v>3652</v>
      </c>
      <c r="I4" s="9" t="s">
        <v>3653</v>
      </c>
    </row>
    <row r="5" customFormat="false" ht="48" hidden="false" customHeight="true" outlineLevel="0" collapsed="false">
      <c r="A5" s="43" t="s">
        <v>10</v>
      </c>
      <c r="B5" s="10" t="n">
        <v>71</v>
      </c>
      <c r="C5" s="9" t="s">
        <v>3639</v>
      </c>
      <c r="D5" s="80" t="n">
        <f aca="false">COUNTIFS('Open Positions'!$A$2:$A$62,A5,'Open Positions'!$C$2:$C$62,"Vacancy")+COUNTIFS('Open Positions'!$A$2:$A$62,A5,'Open Positions'!$C$2:$C$62,"Paid internship / early career")</f>
        <v>0</v>
      </c>
      <c r="E5" s="9" t="s">
        <v>3654</v>
      </c>
      <c r="F5" s="9" t="s">
        <v>3655</v>
      </c>
      <c r="G5" s="9" t="s">
        <v>3656</v>
      </c>
      <c r="H5" s="44" t="s">
        <v>3433</v>
      </c>
      <c r="I5" s="9" t="s">
        <v>3657</v>
      </c>
    </row>
    <row r="6" customFormat="false" ht="48" hidden="false" customHeight="true" outlineLevel="0" collapsed="false">
      <c r="A6" s="43" t="s">
        <v>32</v>
      </c>
      <c r="B6" s="10" t="n">
        <v>45</v>
      </c>
      <c r="C6" s="9" t="s">
        <v>3639</v>
      </c>
      <c r="D6" s="80" t="n">
        <f aca="false">COUNTIFS('Open Positions'!$A$2:$A$62,A6,'Open Positions'!$C$2:$C$62,"Vacancy")+COUNTIFS('Open Positions'!$A$2:$A$62,A6,'Open Positions'!$C$2:$C$62,"Paid internship / early career")</f>
        <v>0</v>
      </c>
      <c r="E6" s="9" t="s">
        <v>3658</v>
      </c>
      <c r="F6" s="9" t="s">
        <v>3659</v>
      </c>
      <c r="G6" s="9" t="s">
        <v>3660</v>
      </c>
      <c r="H6" s="44" t="s">
        <v>3661</v>
      </c>
      <c r="I6" s="9" t="s">
        <v>3662</v>
      </c>
    </row>
    <row r="7" customFormat="false" ht="48" hidden="false" customHeight="true" outlineLevel="0" collapsed="false">
      <c r="A7" s="43" t="s">
        <v>22</v>
      </c>
      <c r="B7" s="10" t="n">
        <v>39</v>
      </c>
      <c r="C7" s="9" t="s">
        <v>3639</v>
      </c>
      <c r="D7" s="80" t="n">
        <f aca="false">COUNTIFS('Open Positions'!$A$2:$A$62,A7,'Open Positions'!$C$2:$C$62,"Vacancy")+COUNTIFS('Open Positions'!$A$2:$A$62,A7,'Open Positions'!$C$2:$C$62,"Paid internship / early career")</f>
        <v>0</v>
      </c>
      <c r="E7" s="9" t="s">
        <v>3654</v>
      </c>
      <c r="F7" s="9" t="s">
        <v>3663</v>
      </c>
      <c r="G7" s="9" t="s">
        <v>3664</v>
      </c>
      <c r="H7" s="44" t="s">
        <v>3510</v>
      </c>
      <c r="I7" s="9" t="s">
        <v>3665</v>
      </c>
    </row>
    <row r="8" customFormat="false" ht="48" hidden="false" customHeight="true" outlineLevel="0" collapsed="false">
      <c r="A8" s="43" t="s">
        <v>30</v>
      </c>
      <c r="B8" s="10" t="n">
        <v>39</v>
      </c>
      <c r="C8" s="9" t="s">
        <v>3666</v>
      </c>
      <c r="D8" s="80" t="n">
        <f aca="false">COUNTIFS('Open Positions'!$A$2:$A$62,A8,'Open Positions'!$C$2:$C$62,"Vacancy")+COUNTIFS('Open Positions'!$A$2:$A$62,A8,'Open Positions'!$C$2:$C$62,"Paid internship / early career")</f>
        <v>1</v>
      </c>
      <c r="E8" s="9" t="s">
        <v>3667</v>
      </c>
      <c r="F8" s="9" t="s">
        <v>3668</v>
      </c>
      <c r="G8" s="9" t="s">
        <v>3669</v>
      </c>
      <c r="H8" s="44" t="s">
        <v>734</v>
      </c>
      <c r="I8" s="9" t="s">
        <v>3670</v>
      </c>
    </row>
    <row r="9" customFormat="false" ht="48" hidden="false" customHeight="true" outlineLevel="0" collapsed="false">
      <c r="A9" s="43" t="s">
        <v>15</v>
      </c>
      <c r="B9" s="10" t="n">
        <v>23</v>
      </c>
      <c r="C9" s="9" t="s">
        <v>3639</v>
      </c>
      <c r="D9" s="80" t="n">
        <f aca="false">COUNTIFS('Open Positions'!$A$2:$A$62,A9,'Open Positions'!$C$2:$C$62,"Vacancy")+COUNTIFS('Open Positions'!$A$2:$A$62,A9,'Open Positions'!$C$2:$C$62,"Paid internship / early career")</f>
        <v>0</v>
      </c>
      <c r="E9" s="9" t="s">
        <v>3671</v>
      </c>
      <c r="F9" s="9" t="s">
        <v>3672</v>
      </c>
      <c r="G9" s="9" t="s">
        <v>3673</v>
      </c>
      <c r="H9" s="44" t="s">
        <v>748</v>
      </c>
      <c r="I9" s="9" t="s">
        <v>3674</v>
      </c>
    </row>
    <row r="10" customFormat="false" ht="48" hidden="false" customHeight="true" outlineLevel="0" collapsed="false">
      <c r="A10" s="43" t="s">
        <v>28</v>
      </c>
      <c r="B10" s="10" t="n">
        <v>17</v>
      </c>
      <c r="C10" s="9" t="s">
        <v>3639</v>
      </c>
      <c r="D10" s="80" t="n">
        <f aca="false">COUNTIFS('Open Positions'!$A$2:$A$62,A10,'Open Positions'!$C$2:$C$62,"Vacancy")+COUNTIFS('Open Positions'!$A$2:$A$62,A10,'Open Positions'!$C$2:$C$62,"Paid internship / early career")</f>
        <v>0</v>
      </c>
      <c r="E10" s="9" t="s">
        <v>3654</v>
      </c>
      <c r="F10" s="9" t="s">
        <v>3675</v>
      </c>
      <c r="G10" s="9" t="s">
        <v>3676</v>
      </c>
      <c r="H10" s="44" t="s">
        <v>149</v>
      </c>
      <c r="I10" s="9" t="s">
        <v>3677</v>
      </c>
    </row>
    <row r="11" customFormat="false" ht="48" hidden="false" customHeight="true" outlineLevel="0" collapsed="false">
      <c r="A11" s="43" t="s">
        <v>25</v>
      </c>
      <c r="B11" s="10" t="n">
        <v>14</v>
      </c>
      <c r="C11" s="9" t="s">
        <v>3639</v>
      </c>
      <c r="D11" s="80" t="n">
        <f aca="false">COUNTIFS('Open Positions'!$A$2:$A$62,A11,'Open Positions'!$C$2:$C$62,"Vacancy")+COUNTIFS('Open Positions'!$A$2:$A$62,A11,'Open Positions'!$C$2:$C$62,"Paid internship / early career")</f>
        <v>0</v>
      </c>
      <c r="E11" s="9" t="s">
        <v>3654</v>
      </c>
      <c r="F11" s="9" t="s">
        <v>3678</v>
      </c>
      <c r="G11" s="9" t="s">
        <v>3679</v>
      </c>
      <c r="H11" s="44" t="s">
        <v>3680</v>
      </c>
      <c r="I11" s="9" t="s">
        <v>3681</v>
      </c>
    </row>
    <row r="12" customFormat="false" ht="48" hidden="false" customHeight="true" outlineLevel="0" collapsed="false">
      <c r="A12" s="43" t="s">
        <v>19</v>
      </c>
      <c r="B12" s="10" t="n">
        <v>10</v>
      </c>
      <c r="C12" s="9" t="s">
        <v>3639</v>
      </c>
      <c r="D12" s="80" t="n">
        <f aca="false">COUNTIFS('Open Positions'!$A$2:$A$62,A12,'Open Positions'!$C$2:$C$62,"Vacancy")+COUNTIFS('Open Positions'!$A$2:$A$62,A12,'Open Positions'!$C$2:$C$62,"Paid internship / early career")</f>
        <v>0</v>
      </c>
      <c r="E12" s="9" t="s">
        <v>3682</v>
      </c>
      <c r="F12" s="9" t="s">
        <v>3683</v>
      </c>
      <c r="G12" s="9" t="s">
        <v>3684</v>
      </c>
      <c r="H12" s="44" t="s">
        <v>3685</v>
      </c>
      <c r="I12" s="9" t="s">
        <v>3686</v>
      </c>
    </row>
    <row r="13" customFormat="false" ht="48" hidden="false" customHeight="true" outlineLevel="0" collapsed="false">
      <c r="A13" s="43" t="s">
        <v>24</v>
      </c>
      <c r="B13" s="10" t="n">
        <v>10</v>
      </c>
      <c r="C13" s="9" t="s">
        <v>3639</v>
      </c>
      <c r="D13" s="80" t="n">
        <f aca="false">COUNTIFS('Open Positions'!$A$2:$A$62,A13,'Open Positions'!$C$2:$C$62,"Vacancy")+COUNTIFS('Open Positions'!$A$2:$A$62,A13,'Open Positions'!$C$2:$C$62,"Paid internship / early career")</f>
        <v>0</v>
      </c>
      <c r="E13" s="9" t="s">
        <v>3654</v>
      </c>
      <c r="F13" s="9" t="s">
        <v>3687</v>
      </c>
      <c r="G13" s="9" t="s">
        <v>3688</v>
      </c>
      <c r="H13" s="44" t="s">
        <v>990</v>
      </c>
      <c r="I13" s="9" t="s">
        <v>3689</v>
      </c>
    </row>
    <row r="14" customFormat="false" ht="48" hidden="false" customHeight="true" outlineLevel="0" collapsed="false">
      <c r="A14" s="43" t="s">
        <v>27</v>
      </c>
      <c r="B14" s="10" t="n">
        <v>10</v>
      </c>
      <c r="C14" s="9" t="s">
        <v>3639</v>
      </c>
      <c r="D14" s="80" t="n">
        <f aca="false">COUNTIFS('Open Positions'!$A$2:$A$62,A14,'Open Positions'!$C$2:$C$62,"Vacancy")+COUNTIFS('Open Positions'!$A$2:$A$62,A14,'Open Positions'!$C$2:$C$62,"Paid internship / early career")</f>
        <v>0</v>
      </c>
      <c r="E14" s="9" t="s">
        <v>3690</v>
      </c>
      <c r="F14" s="9" t="s">
        <v>3691</v>
      </c>
      <c r="G14" s="9" t="s">
        <v>3692</v>
      </c>
      <c r="H14" s="44" t="s">
        <v>3693</v>
      </c>
      <c r="I14" s="9" t="s">
        <v>3694</v>
      </c>
    </row>
    <row r="15" customFormat="false" ht="48" hidden="false" customHeight="true" outlineLevel="0" collapsed="false">
      <c r="A15" s="43" t="s">
        <v>18</v>
      </c>
      <c r="B15" s="10" t="n">
        <v>9</v>
      </c>
      <c r="C15" s="9" t="s">
        <v>3639</v>
      </c>
      <c r="D15" s="80" t="n">
        <f aca="false">COUNTIFS('Open Positions'!$A$2:$A$62,A15,'Open Positions'!$C$2:$C$62,"Vacancy")+COUNTIFS('Open Positions'!$A$2:$A$62,A15,'Open Positions'!$C$2:$C$62,"Paid internship / early career")</f>
        <v>0</v>
      </c>
      <c r="E15" s="9" t="s">
        <v>3695</v>
      </c>
      <c r="F15" s="9" t="s">
        <v>3696</v>
      </c>
      <c r="G15" s="9" t="s">
        <v>3697</v>
      </c>
      <c r="H15" s="44" t="s">
        <v>154</v>
      </c>
      <c r="I15" s="9" t="s">
        <v>3698</v>
      </c>
    </row>
    <row r="16" customFormat="false" ht="48" hidden="false" customHeight="true" outlineLevel="0" collapsed="false">
      <c r="A16" s="43" t="s">
        <v>26</v>
      </c>
      <c r="B16" s="10" t="n">
        <v>9</v>
      </c>
      <c r="C16" s="9" t="s">
        <v>3639</v>
      </c>
      <c r="D16" s="80" t="n">
        <f aca="false">COUNTIFS('Open Positions'!$A$2:$A$62,A16,'Open Positions'!$C$2:$C$62,"Vacancy")+COUNTIFS('Open Positions'!$A$2:$A$62,A16,'Open Positions'!$C$2:$C$62,"Paid internship / early career")</f>
        <v>0</v>
      </c>
      <c r="E16" s="9" t="s">
        <v>3699</v>
      </c>
      <c r="F16" s="9" t="s">
        <v>3700</v>
      </c>
      <c r="G16" s="9" t="s">
        <v>3701</v>
      </c>
      <c r="H16" s="44" t="s">
        <v>3702</v>
      </c>
      <c r="I16" s="9" t="s">
        <v>3703</v>
      </c>
    </row>
    <row r="17" customFormat="false" ht="32.25" hidden="false" customHeight="true" outlineLevel="0" collapsed="false">
      <c r="A17" s="43" t="s">
        <v>34</v>
      </c>
      <c r="B17" s="10"/>
      <c r="C17" s="9" t="s">
        <v>3704</v>
      </c>
      <c r="D17" s="80" t="n">
        <f aca="false">COUNTIFS('Open Positions'!$A$2:$A$62,A17,'Open Positions'!$C$2:$C$62,"Vacancy")+COUNTIFS('Open Positions'!$A$2:$A$62,A17,'Open Positions'!$C$2:$C$62,"Paid internship / early career")</f>
        <v>0</v>
      </c>
      <c r="E17" s="9" t="s">
        <v>3705</v>
      </c>
      <c r="F17" s="9" t="s">
        <v>3706</v>
      </c>
      <c r="G17" s="9" t="s">
        <v>3707</v>
      </c>
      <c r="H17" s="44" t="s">
        <v>190</v>
      </c>
      <c r="I17" s="9" t="s">
        <v>3708</v>
      </c>
    </row>
    <row r="18" customFormat="false" ht="32.25" hidden="false" customHeight="true" outlineLevel="0" collapsed="false">
      <c r="A18" s="43" t="s">
        <v>36</v>
      </c>
      <c r="B18" s="10"/>
      <c r="C18" s="9" t="s">
        <v>3704</v>
      </c>
      <c r="D18" s="80" t="n">
        <f aca="false">COUNTIFS('Open Positions'!$A$2:$A$62,A18,'Open Positions'!$C$2:$C$62,"Vacancy")+COUNTIFS('Open Positions'!$A$2:$A$62,A18,'Open Positions'!$C$2:$C$62,"Paid internship / early career")</f>
        <v>0</v>
      </c>
      <c r="E18" s="9" t="s">
        <v>3709</v>
      </c>
      <c r="F18" s="9" t="s">
        <v>3710</v>
      </c>
      <c r="G18" s="9" t="s">
        <v>3711</v>
      </c>
      <c r="H18" s="44" t="s">
        <v>197</v>
      </c>
      <c r="I18" s="9" t="s">
        <v>3712</v>
      </c>
    </row>
    <row r="19" customFormat="false" ht="32.25" hidden="false" customHeight="true" outlineLevel="0" collapsed="false">
      <c r="A19" s="43" t="s">
        <v>38</v>
      </c>
      <c r="B19" s="10"/>
      <c r="C19" s="9" t="s">
        <v>3704</v>
      </c>
      <c r="D19" s="80" t="n">
        <f aca="false">COUNTIFS('Open Positions'!$A$2:$A$62,A19,'Open Positions'!$C$2:$C$62,"Vacancy")+COUNTIFS('Open Positions'!$A$2:$A$62,A19,'Open Positions'!$C$2:$C$62,"Paid internship / early career")</f>
        <v>0</v>
      </c>
      <c r="E19" s="9" t="s">
        <v>3713</v>
      </c>
      <c r="F19" s="9" t="s">
        <v>3714</v>
      </c>
      <c r="G19" s="9" t="s">
        <v>3715</v>
      </c>
      <c r="H19" s="44" t="s">
        <v>1207</v>
      </c>
      <c r="I19" s="9" t="s">
        <v>3716</v>
      </c>
    </row>
    <row r="20" customFormat="false" ht="42.75" hidden="false" customHeight="true" outlineLevel="0" collapsed="false">
      <c r="A20" s="43" t="s">
        <v>41</v>
      </c>
      <c r="B20" s="10"/>
      <c r="C20" s="9" t="s">
        <v>3717</v>
      </c>
      <c r="D20" s="80" t="n">
        <f aca="false">COUNTIFS('Open Positions'!$A$2:$A$62,A20,'Open Positions'!$C$2:$C$62,"Vacancy")+COUNTIFS('Open Positions'!$A$2:$A$62,A20,'Open Positions'!$C$2:$C$62,"Paid internship / early career")</f>
        <v>0</v>
      </c>
      <c r="E20" s="9" t="s">
        <v>3718</v>
      </c>
      <c r="F20" s="9" t="s">
        <v>3719</v>
      </c>
      <c r="G20" s="9" t="s">
        <v>3720</v>
      </c>
      <c r="H20" s="44" t="s">
        <v>207</v>
      </c>
      <c r="I20" s="9" t="s">
        <v>3721</v>
      </c>
    </row>
    <row r="21" customFormat="false" ht="32.25" hidden="false" customHeight="true" outlineLevel="0" collapsed="false">
      <c r="A21" s="43" t="s">
        <v>44</v>
      </c>
      <c r="B21" s="10"/>
      <c r="C21" s="9" t="s">
        <v>3704</v>
      </c>
      <c r="D21" s="80" t="n">
        <f aca="false">COUNTIFS('Open Positions'!$A$2:$A$62,A21,'Open Positions'!$C$2:$C$62,"Vacancy")+COUNTIFS('Open Positions'!$A$2:$A$62,A21,'Open Positions'!$C$2:$C$62,"Paid internship / early career")</f>
        <v>0</v>
      </c>
      <c r="E21" s="9" t="s">
        <v>3722</v>
      </c>
      <c r="F21" s="9" t="s">
        <v>3723</v>
      </c>
      <c r="G21" s="9" t="s">
        <v>3724</v>
      </c>
      <c r="H21" s="44" t="s">
        <v>215</v>
      </c>
      <c r="I21" s="9" t="s">
        <v>3725</v>
      </c>
    </row>
    <row r="22" customFormat="false" ht="32.25" hidden="false" customHeight="true" outlineLevel="0" collapsed="false">
      <c r="A22" s="43" t="s">
        <v>46</v>
      </c>
      <c r="B22" s="10"/>
      <c r="C22" s="9" t="s">
        <v>3704</v>
      </c>
      <c r="D22" s="80" t="n">
        <f aca="false">COUNTIFS('Open Positions'!$A$2:$A$62,A22,'Open Positions'!$C$2:$C$62,"Vacancy")+COUNTIFS('Open Positions'!$A$2:$A$62,A22,'Open Positions'!$C$2:$C$62,"Paid internship / early career")</f>
        <v>0</v>
      </c>
      <c r="E22" s="9" t="s">
        <v>3726</v>
      </c>
      <c r="F22" s="9" t="s">
        <v>3727</v>
      </c>
      <c r="G22" s="9" t="s">
        <v>3728</v>
      </c>
      <c r="H22" s="44" t="s">
        <v>220</v>
      </c>
      <c r="I22" s="9" t="s">
        <v>3729</v>
      </c>
    </row>
    <row r="23" customFormat="false" ht="32.25" hidden="false" customHeight="true" outlineLevel="0" collapsed="false">
      <c r="A23" s="43" t="s">
        <v>48</v>
      </c>
      <c r="B23" s="10"/>
      <c r="C23" s="9" t="s">
        <v>3704</v>
      </c>
      <c r="D23" s="80" t="n">
        <f aca="false">COUNTIFS('Open Positions'!$A$2:$A$62,A23,'Open Positions'!$C$2:$C$62,"Vacancy")+COUNTIFS('Open Positions'!$A$2:$A$62,A23,'Open Positions'!$C$2:$C$62,"Paid internship / early career")</f>
        <v>0</v>
      </c>
      <c r="E23" s="9" t="s">
        <v>3730</v>
      </c>
      <c r="F23" s="9" t="s">
        <v>3731</v>
      </c>
      <c r="G23" s="9" t="s">
        <v>3732</v>
      </c>
      <c r="H23" s="44" t="s">
        <v>225</v>
      </c>
      <c r="I23" s="9" t="s">
        <v>3733</v>
      </c>
    </row>
    <row r="24" customFormat="false" ht="42.75" hidden="false" customHeight="true" outlineLevel="0" collapsed="false">
      <c r="A24" s="43" t="s">
        <v>50</v>
      </c>
      <c r="B24" s="10"/>
      <c r="C24" s="9" t="s">
        <v>3704</v>
      </c>
      <c r="D24" s="80" t="n">
        <f aca="false">COUNTIFS('Open Positions'!$A$2:$A$62,A24,'Open Positions'!$C$2:$C$62,"Vacancy")+COUNTIFS('Open Positions'!$A$2:$A$62,A24,'Open Positions'!$C$2:$C$62,"Paid internship / early career")</f>
        <v>0</v>
      </c>
      <c r="E24" s="9" t="s">
        <v>3734</v>
      </c>
      <c r="F24" s="9" t="s">
        <v>3735</v>
      </c>
      <c r="G24" s="9" t="s">
        <v>3736</v>
      </c>
      <c r="H24" s="44" t="s">
        <v>3737</v>
      </c>
      <c r="I24" s="9" t="s">
        <v>3738</v>
      </c>
    </row>
    <row r="25" customFormat="false" ht="32.25" hidden="false" customHeight="true" outlineLevel="0" collapsed="false">
      <c r="A25" s="43" t="s">
        <v>52</v>
      </c>
      <c r="B25" s="10"/>
      <c r="C25" s="9" t="s">
        <v>3704</v>
      </c>
      <c r="D25" s="80" t="n">
        <f aca="false">COUNTIFS('Open Positions'!$A$2:$A$62,A25,'Open Positions'!$C$2:$C$62,"Vacancy")+COUNTIFS('Open Positions'!$A$2:$A$62,A25,'Open Positions'!$C$2:$C$62,"Paid internship / early career")</f>
        <v>0</v>
      </c>
      <c r="E25" s="9" t="s">
        <v>3739</v>
      </c>
      <c r="F25" s="9" t="s">
        <v>3740</v>
      </c>
      <c r="G25" s="9" t="s">
        <v>3741</v>
      </c>
      <c r="H25" s="44" t="s">
        <v>236</v>
      </c>
      <c r="I25" s="9" t="s">
        <v>3742</v>
      </c>
    </row>
    <row r="26" customFormat="false" ht="32.25" hidden="false" customHeight="true" outlineLevel="0" collapsed="false">
      <c r="A26" s="43" t="s">
        <v>54</v>
      </c>
      <c r="B26" s="10"/>
      <c r="C26" s="9" t="s">
        <v>3704</v>
      </c>
      <c r="D26" s="80" t="n">
        <f aca="false">COUNTIFS('Open Positions'!$A$2:$A$62,A26,'Open Positions'!$C$2:$C$62,"Vacancy")+COUNTIFS('Open Positions'!$A$2:$A$62,A26,'Open Positions'!$C$2:$C$62,"Paid internship / early career")</f>
        <v>0</v>
      </c>
      <c r="E26" s="9" t="s">
        <v>3743</v>
      </c>
      <c r="F26" s="9" t="s">
        <v>3744</v>
      </c>
      <c r="G26" s="9" t="s">
        <v>3745</v>
      </c>
      <c r="H26" s="44" t="s">
        <v>242</v>
      </c>
      <c r="I26" s="9" t="s">
        <v>3746</v>
      </c>
    </row>
    <row r="27" customFormat="false" ht="32.25" hidden="false" customHeight="true" outlineLevel="0" collapsed="false">
      <c r="A27" s="43" t="s">
        <v>55</v>
      </c>
      <c r="B27" s="10"/>
      <c r="C27" s="9" t="s">
        <v>3704</v>
      </c>
      <c r="D27" s="80" t="n">
        <f aca="false">COUNTIFS('Open Positions'!$A$2:$A$62,A27,'Open Positions'!$C$2:$C$62,"Vacancy")+COUNTIFS('Open Positions'!$A$2:$A$62,A27,'Open Positions'!$C$2:$C$62,"Paid internship / early career")</f>
        <v>0</v>
      </c>
      <c r="E27" s="9" t="s">
        <v>3747</v>
      </c>
      <c r="F27" s="9" t="s">
        <v>3748</v>
      </c>
      <c r="G27" s="9" t="s">
        <v>3749</v>
      </c>
      <c r="H27" s="44" t="s">
        <v>246</v>
      </c>
      <c r="I27" s="9" t="s">
        <v>3750</v>
      </c>
    </row>
    <row r="28" customFormat="false" ht="32.25" hidden="false" customHeight="true" outlineLevel="0" collapsed="false">
      <c r="A28" s="43" t="s">
        <v>56</v>
      </c>
      <c r="B28" s="10"/>
      <c r="C28" s="9" t="s">
        <v>3704</v>
      </c>
      <c r="D28" s="80" t="n">
        <f aca="false">COUNTIFS('Open Positions'!$A$2:$A$62,A28,'Open Positions'!$C$2:$C$62,"Vacancy")+COUNTIFS('Open Positions'!$A$2:$A$62,A28,'Open Positions'!$C$2:$C$62,"Paid internship / early career")</f>
        <v>0</v>
      </c>
      <c r="E28" s="9" t="s">
        <v>3751</v>
      </c>
      <c r="F28" s="9" t="s">
        <v>3752</v>
      </c>
      <c r="G28" s="9" t="s">
        <v>3753</v>
      </c>
      <c r="H28" s="44" t="s">
        <v>251</v>
      </c>
      <c r="I28" s="9" t="s">
        <v>3754</v>
      </c>
    </row>
    <row r="29" customFormat="false" ht="42.75" hidden="false" customHeight="true" outlineLevel="0" collapsed="false">
      <c r="A29" s="43" t="s">
        <v>58</v>
      </c>
      <c r="B29" s="10"/>
      <c r="C29" s="9" t="s">
        <v>3704</v>
      </c>
      <c r="D29" s="80" t="n">
        <f aca="false">COUNTIFS('Open Positions'!$A$2:$A$62,A29,'Open Positions'!$C$2:$C$62,"Vacancy")+COUNTIFS('Open Positions'!$A$2:$A$62,A29,'Open Positions'!$C$2:$C$62,"Paid internship / early career")</f>
        <v>0</v>
      </c>
      <c r="E29" s="9" t="s">
        <v>3747</v>
      </c>
      <c r="F29" s="9" t="s">
        <v>3755</v>
      </c>
      <c r="G29" s="9" t="s">
        <v>3756</v>
      </c>
      <c r="H29" s="44" t="s">
        <v>259</v>
      </c>
      <c r="I29" s="9" t="s">
        <v>3757</v>
      </c>
    </row>
    <row r="30" customFormat="false" ht="42.75" hidden="false" customHeight="true" outlineLevel="0" collapsed="false">
      <c r="A30" s="43" t="s">
        <v>59</v>
      </c>
      <c r="B30" s="10"/>
      <c r="C30" s="9" t="s">
        <v>3717</v>
      </c>
      <c r="D30" s="80" t="n">
        <f aca="false">COUNTIFS('Open Positions'!$A$2:$A$62,A30,'Open Positions'!$C$2:$C$62,"Vacancy")+COUNTIFS('Open Positions'!$A$2:$A$62,A30,'Open Positions'!$C$2:$C$62,"Paid internship / early career")</f>
        <v>0</v>
      </c>
      <c r="E30" s="9" t="s">
        <v>3758</v>
      </c>
      <c r="F30" s="9" t="s">
        <v>3759</v>
      </c>
      <c r="G30" s="9" t="s">
        <v>3760</v>
      </c>
      <c r="H30" s="44" t="s">
        <v>1466</v>
      </c>
      <c r="I30" s="9" t="s">
        <v>3761</v>
      </c>
    </row>
    <row r="31" customFormat="false" ht="42.75" hidden="false" customHeight="true" outlineLevel="0" collapsed="false">
      <c r="A31" s="45" t="s">
        <v>61</v>
      </c>
      <c r="B31" s="13"/>
      <c r="C31" s="15" t="s">
        <v>3704</v>
      </c>
      <c r="D31" s="81" t="n">
        <f aca="false">COUNTIFS('Open Positions'!$A$2:$A$62,A31,'Open Positions'!$C$2:$C$62,"Vacancy")+COUNTIFS('Open Positions'!$A$2:$A$62,A31,'Open Positions'!$C$2:$C$62,"Paid internship / early career")</f>
        <v>0</v>
      </c>
      <c r="E31" s="15" t="s">
        <v>3762</v>
      </c>
      <c r="F31" s="15" t="s">
        <v>3763</v>
      </c>
      <c r="G31" s="15" t="s">
        <v>3764</v>
      </c>
      <c r="H31" s="46" t="s">
        <v>1508</v>
      </c>
      <c r="I31" s="15" t="s">
        <v>3765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2026-08-18T11:03:29Z</dcterms:created>
  <dc:creator>openpyxl</dc:creator>
  <dc:description/>
  <dc:language>en-US</dc:language>
  <cp:lastModifiedBy>Tudor, Andrei</cp:lastModifiedBy>
  <dcterms:modified xsi:type="dcterms:W3CDTF">2026-08-21T13:09:35Z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0x010100066711ED15B4E64082A67B2E8F10E99B</vt:lpwstr>
  </property>
  <property fmtid="{D5CDD505-2E9C-101B-9397-08002B2CF9AE}" pid="3" name="MSIP_Label_31f81cae-2cc7-434f-b11d-39789e497bf2_ActionId">
    <vt:lpwstr>c0e5d002-219e-49e0-b40a-7c3dcdbaae6b</vt:lpwstr>
  </property>
  <property fmtid="{D5CDD505-2E9C-101B-9397-08002B2CF9AE}" pid="4" name="MSIP_Label_31f81cae-2cc7-434f-b11d-39789e497bf2_ContentBits">
    <vt:lpwstr>0</vt:lpwstr>
  </property>
  <property fmtid="{D5CDD505-2E9C-101B-9397-08002B2CF9AE}" pid="5" name="MSIP_Label_31f81cae-2cc7-434f-b11d-39789e497bf2_Enabled">
    <vt:lpwstr>true</vt:lpwstr>
  </property>
  <property fmtid="{D5CDD505-2E9C-101B-9397-08002B2CF9AE}" pid="6" name="MSIP_Label_31f81cae-2cc7-434f-b11d-39789e497bf2_Method">
    <vt:lpwstr>Standard</vt:lpwstr>
  </property>
  <property fmtid="{D5CDD505-2E9C-101B-9397-08002B2CF9AE}" pid="7" name="MSIP_Label_31f81cae-2cc7-434f-b11d-39789e497bf2_Name">
    <vt:lpwstr>Confidential</vt:lpwstr>
  </property>
  <property fmtid="{D5CDD505-2E9C-101B-9397-08002B2CF9AE}" pid="8" name="MSIP_Label_31f81cae-2cc7-434f-b11d-39789e497bf2_SetDate">
    <vt:lpwstr>2026-08-21T08:36:35Z</vt:lpwstr>
  </property>
  <property fmtid="{D5CDD505-2E9C-101B-9397-08002B2CF9AE}" pid="9" name="MSIP_Label_31f81cae-2cc7-434f-b11d-39789e497bf2_SiteId">
    <vt:lpwstr>dd5e230f-c165-49c4-957f-e203458fffab</vt:lpwstr>
  </property>
  <property fmtid="{D5CDD505-2E9C-101B-9397-08002B2CF9AE}" pid="10" name="MSIP_Label_31f81cae-2cc7-434f-b11d-39789e497bf2_Tag">
    <vt:lpwstr>10, 3, 0, 1</vt:lpwstr>
  </property>
  <property fmtid="{D5CDD505-2E9C-101B-9397-08002B2CF9AE}" pid="11" name="MediaServiceImageTags">
    <vt:lpwstr/>
  </property>
</Properties>
</file>